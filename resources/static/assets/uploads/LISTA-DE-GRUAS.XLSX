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4"/>
  <workbookPr/>
  <mc:AlternateContent xmlns:mc="http://schemas.openxmlformats.org/markup-compatibility/2006">
    <mc:Choice Requires="x15">
      <x15ac:absPath xmlns:x15ac="http://schemas.microsoft.com/office/spreadsheetml/2010/11/ac" url="/Users/mebc/Desktop/proinsa-app/docs/"/>
    </mc:Choice>
  </mc:AlternateContent>
  <xr:revisionPtr revIDLastSave="0" documentId="13_ncr:1_{5D98040B-FBBE-1344-A8F3-5A284A55F17A}" xr6:coauthVersionLast="45" xr6:coauthVersionMax="45" xr10:uidLastSave="{00000000-0000-0000-0000-000000000000}"/>
  <bookViews>
    <workbookView xWindow="0" yWindow="460" windowWidth="25600" windowHeight="14780" activeTab="2" xr2:uid="{00000000-000D-0000-FFFF-FFFF00000000}"/>
  </bookViews>
  <sheets>
    <sheet name="Region Este" sheetId="11" r:id="rId1"/>
    <sheet name="Region Sur" sheetId="12" r:id="rId2"/>
    <sheet name="Region Cibao" sheetId="13" r:id="rId3"/>
    <sheet name="Santo Domingo  " sheetId="1" r:id="rId4"/>
    <sheet name="Mao" sheetId="5" r:id="rId5"/>
    <sheet name="Puerto Plata" sheetId="6" r:id="rId6"/>
    <sheet name="Moca" sheetId="7" r:id="rId7"/>
    <sheet name="Nagua-Samana" sheetId="8" r:id="rId8"/>
    <sheet name="San francisco-Salcedo" sheetId="9" r:id="rId9"/>
    <sheet name="Asistencia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1" i="1" l="1"/>
  <c r="B11" i="1"/>
  <c r="C11" i="1"/>
  <c r="F11" i="1"/>
  <c r="G11" i="1"/>
  <c r="H11" i="1"/>
  <c r="C12" i="1"/>
  <c r="D12" i="1"/>
  <c r="E12" i="1"/>
</calcChain>
</file>

<file path=xl/sharedStrings.xml><?xml version="1.0" encoding="utf-8"?>
<sst xmlns="http://schemas.openxmlformats.org/spreadsheetml/2006/main" count="478" uniqueCount="271">
  <si>
    <t>Grua  de servicio</t>
  </si>
  <si>
    <t>Yotuel</t>
  </si>
  <si>
    <t>Colon</t>
  </si>
  <si>
    <t>Yiret</t>
  </si>
  <si>
    <t>Telefonos</t>
  </si>
  <si>
    <t>Oficina</t>
  </si>
  <si>
    <t>Celular</t>
  </si>
  <si>
    <t>Contacto</t>
  </si>
  <si>
    <t>Victoriano Roja Serrano</t>
  </si>
  <si>
    <t>Yan Carlos</t>
  </si>
  <si>
    <t>Camilo Perez</t>
  </si>
  <si>
    <t>Los unidos</t>
  </si>
  <si>
    <t xml:space="preserve"> PROVEEDORES DE SERVICIOS DISTRITO NACIONAL</t>
  </si>
  <si>
    <t>Alcance</t>
  </si>
  <si>
    <t>La Romana</t>
  </si>
  <si>
    <t>Belvi Cedeño</t>
  </si>
  <si>
    <t>Grua Cedeño</t>
  </si>
  <si>
    <t>Higuey, Bavaro, punta cana</t>
  </si>
  <si>
    <t>Grua Joel</t>
  </si>
  <si>
    <t>Joel Abreu.</t>
  </si>
  <si>
    <t>Grua Guerrero</t>
  </si>
  <si>
    <t>carretera salida a santo domingo.</t>
  </si>
  <si>
    <t>todo el este</t>
  </si>
  <si>
    <t>Bani</t>
  </si>
  <si>
    <t>Grua San Elias</t>
  </si>
  <si>
    <t>Alejandro Acosta No. 21  Esq. Maximo gomez</t>
  </si>
  <si>
    <t>Ubri</t>
  </si>
  <si>
    <t>Bani /Sto. Dgo/. Ocoa/, san cristobal</t>
  </si>
  <si>
    <t>Azua</t>
  </si>
  <si>
    <t>Grua Ubri</t>
  </si>
  <si>
    <t>Alejandro Acosta No. 19  Esq. Maximo gomez</t>
  </si>
  <si>
    <t>Rafael Santos</t>
  </si>
  <si>
    <t>San  Juan de la Maguana</t>
  </si>
  <si>
    <t>Cervante Isaac</t>
  </si>
  <si>
    <t>San Juan/Las Matas de falfan/ Elias</t>
  </si>
  <si>
    <t>Otilio Mendez No.10</t>
  </si>
  <si>
    <t>Bonao</t>
  </si>
  <si>
    <t>Francisco Pimentel</t>
  </si>
  <si>
    <t>Pedro Brand Km 22 autopista Duarte</t>
  </si>
  <si>
    <t>Grua Rene</t>
  </si>
  <si>
    <t>Grua Guiby</t>
  </si>
  <si>
    <t>autopista Duarte km 9 1/2</t>
  </si>
  <si>
    <t>Autopista Duarte</t>
  </si>
  <si>
    <t>Grua Reynaldo</t>
  </si>
  <si>
    <t>Constanza</t>
  </si>
  <si>
    <t>constanza</t>
  </si>
  <si>
    <t>Reynaldo</t>
  </si>
  <si>
    <t>Grua Flores</t>
  </si>
  <si>
    <t>Santiago</t>
  </si>
  <si>
    <t>Grua Robert</t>
  </si>
  <si>
    <t>Llano del Gurabo, Carretera Tigaiga c/principal No.21</t>
  </si>
  <si>
    <t>Grua IN</t>
  </si>
  <si>
    <t>Victor Infante</t>
  </si>
  <si>
    <t>Grua  Rafelito</t>
  </si>
  <si>
    <t>Mao</t>
  </si>
  <si>
    <t>Rafelito</t>
  </si>
  <si>
    <t>Nagua</t>
  </si>
  <si>
    <t>Nagua, Samana, rio san juan</t>
  </si>
  <si>
    <t>Isaias Gregorio</t>
  </si>
  <si>
    <t>Grua Rodriguez</t>
  </si>
  <si>
    <t>Rolfi</t>
  </si>
  <si>
    <t>Grua Derlin</t>
  </si>
  <si>
    <t>Rene</t>
  </si>
  <si>
    <t>Grua Tito</t>
  </si>
  <si>
    <t>Ramon caceres No.1</t>
  </si>
  <si>
    <t>Tito</t>
  </si>
  <si>
    <t>Ramon</t>
  </si>
  <si>
    <t>Grua Richall</t>
  </si>
  <si>
    <t>Richal Jose Valentin</t>
  </si>
  <si>
    <t>Moca</t>
  </si>
  <si>
    <t>Grua Wily</t>
  </si>
  <si>
    <t>Av. Caonabo salida villa tapia</t>
  </si>
  <si>
    <t xml:space="preserve">Proveedores </t>
  </si>
  <si>
    <t>La Paz</t>
  </si>
  <si>
    <t>Lugar de servicio</t>
  </si>
  <si>
    <t>Proveedor</t>
  </si>
  <si>
    <t>Telefono</t>
  </si>
  <si>
    <t>Flores</t>
  </si>
  <si>
    <t>Inoel de Jesus Perez Brito</t>
  </si>
  <si>
    <t>Ramon caceres No.2</t>
  </si>
  <si>
    <t>No. De cuenta</t>
  </si>
  <si>
    <t>Nombre de Cta.</t>
  </si>
  <si>
    <t>Banco</t>
  </si>
  <si>
    <t>Corrriente o Ahorro</t>
  </si>
  <si>
    <t>Ahorro</t>
  </si>
  <si>
    <t>Masiel Perez Hidalgo</t>
  </si>
  <si>
    <t xml:space="preserve">Tranferencia </t>
  </si>
  <si>
    <t>Fecha de Cumpleaños de Contacto</t>
  </si>
  <si>
    <t>No. Cedula</t>
  </si>
  <si>
    <t>402-2183861-4</t>
  </si>
  <si>
    <t>Popular</t>
  </si>
  <si>
    <t>054-0109794-3</t>
  </si>
  <si>
    <t>Transferencia</t>
  </si>
  <si>
    <t>Joel Abreu Guzman</t>
  </si>
  <si>
    <t>123-0014148-3</t>
  </si>
  <si>
    <t>Corriente</t>
  </si>
  <si>
    <t>Gleni Sanchez Carvajal</t>
  </si>
  <si>
    <t>260-126204-7</t>
  </si>
  <si>
    <t>Gruas Sanchez</t>
  </si>
  <si>
    <t>sanchez</t>
  </si>
  <si>
    <t>Ariel Sanchez</t>
  </si>
  <si>
    <t>Puerto Plata</t>
  </si>
  <si>
    <t xml:space="preserve">829 924 8960 </t>
  </si>
  <si>
    <t>Beltre</t>
  </si>
  <si>
    <t>Calle Jacinto de los Santos, Santo Domingo Este</t>
  </si>
  <si>
    <t>Jose A. Beltre Barone</t>
  </si>
  <si>
    <t>809 225 9571</t>
  </si>
  <si>
    <t xml:space="preserve">829 375 1001 </t>
  </si>
  <si>
    <t>Beart</t>
  </si>
  <si>
    <t>Seibo, Santo Domingo</t>
  </si>
  <si>
    <t>Franklin</t>
  </si>
  <si>
    <t>San Pedro de Macoris</t>
  </si>
  <si>
    <t>C. Pedro Mestre No. 37, sector Placer Bonito.</t>
  </si>
  <si>
    <t>Autopista del Este, Juan Dolio, Guayacanes, Playa caribe , el Socoro, Cumayasa, cueva de las Maravillas, y la romana</t>
  </si>
  <si>
    <t>829 805 9284</t>
  </si>
  <si>
    <t>Neo Torre (Padre)</t>
  </si>
  <si>
    <t>Gruas Neo</t>
  </si>
  <si>
    <t>Hato Mayor del Rey (SPM)</t>
  </si>
  <si>
    <t>Hato Mayor, Sabana de la Mar, El Valle, Miche, El Seibo
Consuelo, San Pedro de Macorís.</t>
  </si>
  <si>
    <t>Juan Jose Torres</t>
  </si>
  <si>
    <t>D Inoel Gruas</t>
  </si>
  <si>
    <t>Av. Hipanoamericana, Frente a la universidad Uapa.</t>
  </si>
  <si>
    <t>809 543 2220</t>
  </si>
  <si>
    <t>Ramon de leon Varelera</t>
  </si>
  <si>
    <t xml:space="preserve">Gruas Taveras </t>
  </si>
  <si>
    <t>Samana</t>
  </si>
  <si>
    <t>Jose Ramon</t>
  </si>
  <si>
    <t>Grua Rafa</t>
  </si>
  <si>
    <t>809 973 9556</t>
  </si>
  <si>
    <t>Azua, Barahona</t>
  </si>
  <si>
    <t>Rafa</t>
  </si>
  <si>
    <t>Av. Sanchez No.3, Azua</t>
  </si>
  <si>
    <t>Gruas Kelvin</t>
  </si>
  <si>
    <t>809 521 1666</t>
  </si>
  <si>
    <t>809 863 0728</t>
  </si>
  <si>
    <t>Calle Cholo, No. 27, Azua</t>
  </si>
  <si>
    <t>Toda la zona sur</t>
  </si>
  <si>
    <t>Kelvin Perez</t>
  </si>
  <si>
    <t>809 266 5137</t>
  </si>
  <si>
    <t>Cedeño</t>
  </si>
  <si>
    <t>Higuey</t>
  </si>
  <si>
    <t>809 330 0292</t>
  </si>
  <si>
    <t>829 803 7323</t>
  </si>
  <si>
    <t>829 699 2795</t>
  </si>
  <si>
    <t>Joel</t>
  </si>
  <si>
    <t>809 661 7534</t>
  </si>
  <si>
    <t>Eliza</t>
  </si>
  <si>
    <t>809 522 6368</t>
  </si>
  <si>
    <t>809 545 0542</t>
  </si>
  <si>
    <t>809 257 5501</t>
  </si>
  <si>
    <t>Grua Servantes</t>
  </si>
  <si>
    <t>809 713 4088</t>
  </si>
  <si>
    <t>829 376 7029</t>
  </si>
  <si>
    <t>809 430 6260</t>
  </si>
  <si>
    <t>809 413 6230</t>
  </si>
  <si>
    <t>809 971 9955</t>
  </si>
  <si>
    <t>829 381 2222</t>
  </si>
  <si>
    <t>809 969 1315</t>
  </si>
  <si>
    <t>809 754 3381</t>
  </si>
  <si>
    <t>Av. Circunvalacion Santiago</t>
  </si>
  <si>
    <t>Ministerio de trabajo</t>
  </si>
  <si>
    <t>Ministerio de Obras Publicas</t>
  </si>
  <si>
    <t>809 299 6467</t>
  </si>
  <si>
    <t>849 855 1444</t>
  </si>
  <si>
    <t>829 375 1001</t>
  </si>
  <si>
    <t>809 245 2046</t>
  </si>
  <si>
    <t>809 480 3890</t>
  </si>
  <si>
    <t>Francisco Frias</t>
  </si>
  <si>
    <t>Santo Domingo Este</t>
  </si>
  <si>
    <t>Gran santo Domingo</t>
  </si>
  <si>
    <t xml:space="preserve">PROVEEDORES DE SERVICIOS SANTO DOMINGO ESTE </t>
  </si>
  <si>
    <t>Tranferencia o cheque</t>
  </si>
  <si>
    <t>Gruero</t>
  </si>
  <si>
    <t>Area geografica que cubre</t>
  </si>
  <si>
    <t>829 659 1854</t>
  </si>
  <si>
    <t>829 629 2944</t>
  </si>
  <si>
    <t xml:space="preserve"> PROVEEDORES DE SERVICIOS MAO</t>
  </si>
  <si>
    <t>Santiago Rodríguez</t>
  </si>
  <si>
    <t>809 462 7634</t>
  </si>
  <si>
    <t>Santiago Rodrīguez</t>
  </si>
  <si>
    <t>Rdhames Gómez</t>
  </si>
  <si>
    <t>Santiago Rodríguez, Monte Cristi, Dajabon</t>
  </si>
  <si>
    <t>Mao, Santiago Rodríguez, Monte Cristi, Dajabon</t>
  </si>
  <si>
    <t>COMPAÑIAS  DE SERVICIOS DE GRUAS REGION MAO</t>
  </si>
  <si>
    <t>COMPAÑIAS  DE SERVICIOS DE GRUAS EN EL GRAN SANTO DOMINGO POR MUNICIPIOS</t>
  </si>
  <si>
    <t xml:space="preserve">Dirección </t>
  </si>
  <si>
    <t>El poderoso</t>
  </si>
  <si>
    <t>809 727 1568</t>
  </si>
  <si>
    <t>809 671 1568</t>
  </si>
  <si>
    <t>Puerto Plata, Sosua, Cabarete, Imbert</t>
  </si>
  <si>
    <t>Berardo</t>
  </si>
  <si>
    <t>COMPAÑIAS  DE SERVICIOS DE GRUAS REGION PUERTO PLATA</t>
  </si>
  <si>
    <t xml:space="preserve"> PROVEEDORES DE SERVICIOS PUERTO PLATA</t>
  </si>
  <si>
    <t>Auto Rescate Silver</t>
  </si>
  <si>
    <t>Malecon, esq. padre Castellano</t>
  </si>
  <si>
    <t>Moca, Salcedo, Gaspar Hernádez, San Victor, Villa Tapia, Tamboril</t>
  </si>
  <si>
    <t>31 Julio</t>
  </si>
  <si>
    <t>849 481 4559</t>
  </si>
  <si>
    <t>829 316 5727</t>
  </si>
  <si>
    <t>809 2824 559</t>
  </si>
  <si>
    <t>849 316 5727</t>
  </si>
  <si>
    <t>COMPAÑIAS  DE SERVICIOS DE GRUAS REGION MOCA</t>
  </si>
  <si>
    <t xml:space="preserve"> PROVEEDORES DE SERVICIOS MOCA</t>
  </si>
  <si>
    <t>809 844 7201</t>
  </si>
  <si>
    <t>809 703 3291</t>
  </si>
  <si>
    <t>809 778 8168</t>
  </si>
  <si>
    <t>Las terrenas, Samaná, Nagua</t>
  </si>
  <si>
    <t>Las terrenas, Samana, Nagua</t>
  </si>
  <si>
    <t>San Francisco de Macoris</t>
  </si>
  <si>
    <t>809 772 5727</t>
  </si>
  <si>
    <t>809 588 3355</t>
  </si>
  <si>
    <t>809 725 4775</t>
  </si>
  <si>
    <t>829 655 8855</t>
  </si>
  <si>
    <t>809 480 2280</t>
  </si>
  <si>
    <t>809 480 2297</t>
  </si>
  <si>
    <t>Salida a Nagua</t>
  </si>
  <si>
    <t>Carretera San Francisco Nagua</t>
  </si>
  <si>
    <t>San Francisco, Salcedo, Cotui, Pimentel</t>
  </si>
  <si>
    <t>San Francisco, Salcedo, Villa Tapia, Tenares, Gaspar Hernández, Nagua, Sosua</t>
  </si>
  <si>
    <t>Genry Jacob de Jesús Fernández</t>
  </si>
  <si>
    <t>COMPAÑIAS  DE SERVICIOS DE GRUAS REGION SAN FRANCISCO-SALCEDO</t>
  </si>
  <si>
    <t xml:space="preserve"> PROVEEDORES DE SERVICIOS SAN FRANCISCO-SALCEDO</t>
  </si>
  <si>
    <t>COMPAÑIAS  DE SERVICIOS DE GRUAS REGION NAGUA-SAMANA</t>
  </si>
  <si>
    <t xml:space="preserve"> PROVEEDORES DE SERVICIOS NAGUA-SAMANA</t>
  </si>
  <si>
    <t>Cerrajeria, Vidrieria, Pase de Corriente, Suministro de Combustible, Mecanica Ligera, Cambio de Neumático</t>
  </si>
  <si>
    <t>Santo Domingo</t>
  </si>
  <si>
    <t>829 446 9165 Anthony, 809 444 110 Elvis</t>
  </si>
  <si>
    <t>829 381 2222, 809 626 3830</t>
  </si>
  <si>
    <t>Tipos de asistencias</t>
  </si>
  <si>
    <t>Pedro V. Familia</t>
  </si>
  <si>
    <t>849 855 1444, 829 677 7000</t>
  </si>
  <si>
    <t>Hato Mayor</t>
  </si>
  <si>
    <t>Carretera Verón, Punta Cana</t>
  </si>
  <si>
    <t>809 566 7504</t>
  </si>
  <si>
    <t>829 981 6087</t>
  </si>
  <si>
    <t>809 963 6173</t>
  </si>
  <si>
    <t xml:space="preserve">Av. Churchill con Av. Kennedy </t>
  </si>
  <si>
    <t>809 622 1957</t>
  </si>
  <si>
    <t>809 857 0143</t>
  </si>
  <si>
    <t>C. Héroes de Luperón esq. calle A 7 Ensanches La Paz</t>
  </si>
  <si>
    <t>809 879 7760</t>
  </si>
  <si>
    <t>Gran Santo Domingo</t>
  </si>
  <si>
    <t>Verón/Punta Cana</t>
  </si>
  <si>
    <t xml:space="preserve">Gruas Radeva </t>
  </si>
  <si>
    <t xml:space="preserve"> PROVEEDORES DE SERVICIOS REGION ESTE</t>
  </si>
  <si>
    <t>Banreservas</t>
  </si>
  <si>
    <t>402-2439768-3</t>
  </si>
  <si>
    <t>COMPAÑIAS DE SERVICIOS DE GRUAS REGION ESTE</t>
  </si>
  <si>
    <t>809 529 6801</t>
  </si>
  <si>
    <t>829 288 3030</t>
  </si>
  <si>
    <t>809 259 1446</t>
  </si>
  <si>
    <t>809 973 2082</t>
  </si>
  <si>
    <t>809 228 0139</t>
  </si>
  <si>
    <t>809 721 9499</t>
  </si>
  <si>
    <t>Grua Pachi</t>
  </si>
  <si>
    <t>809 978 6109</t>
  </si>
  <si>
    <t>809 762 0052</t>
  </si>
  <si>
    <t>Grua Encarnación</t>
  </si>
  <si>
    <t>Todo el cibao</t>
  </si>
  <si>
    <t>Constanza, Sonador, La Cumbre, El Pino, La Vega</t>
  </si>
  <si>
    <t>Villa Altagracia/La cumbre/Pedro Brand.</t>
  </si>
  <si>
    <t>Francisco Flores</t>
  </si>
  <si>
    <t>Robert Peralta Grullón</t>
  </si>
  <si>
    <t>Robert Gruas S.R.L</t>
  </si>
  <si>
    <t>COMPAÑIAS DE SERVICIOS DE GRUAS REGION CIBAO</t>
  </si>
  <si>
    <t xml:space="preserve"> PROVEEDORES DE SERVICIOS REGION CIBAO</t>
  </si>
  <si>
    <t xml:space="preserve"> PROVEEDORES DE SERVICIOS REGION SUR</t>
  </si>
  <si>
    <t>COMPAÑIAS DE SERVICIOS DE GRUAS REGION SUR</t>
  </si>
  <si>
    <t>-</t>
  </si>
  <si>
    <t>*</t>
  </si>
  <si>
    <t>Rapido Flash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</si>
</sst>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1" xfId="0" applyBorder="1"/>
    <xf numFmtId="0" fontId="0" fillId="0" borderId="1" xfId="0" applyBorder="1" applyAlignment="1"/>
    <xf numFmtId="0" fontId="0" fillId="0" borderId="1" xfId="0" applyFill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0" fillId="2" borderId="1" xfId="0" applyFont="1" applyFill="1" applyBorder="1"/>
    <xf numFmtId="0" fontId="1" fillId="2" borderId="1" xfId="0" applyFont="1" applyFill="1" applyBorder="1" applyAlignment="1">
      <alignment horizontal="center" wrapText="1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8" xfId="0" applyFill="1" applyBorder="1" applyAlignment="1"/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0" fillId="2" borderId="0" xfId="0" applyFill="1" applyBorder="1" applyAlignment="1"/>
    <xf numFmtId="0" fontId="1" fillId="2" borderId="9" xfId="0" applyFont="1" applyFill="1" applyBorder="1" applyAlignment="1">
      <alignment horizontal="center"/>
    </xf>
    <xf numFmtId="0" fontId="0" fillId="0" borderId="7" xfId="0" applyBorder="1" applyAlignment="1"/>
    <xf numFmtId="0" fontId="0" fillId="0" borderId="8" xfId="0" applyBorder="1" applyAlignment="1"/>
    <xf numFmtId="0" fontId="0" fillId="2" borderId="1" xfId="0" applyNumberFormat="1" applyFill="1" applyBorder="1" applyAlignment="1">
      <alignment horizontal="center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2" borderId="4" xfId="0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2" borderId="7" xfId="0" applyFont="1" applyFill="1" applyBorder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16" fontId="0" fillId="2" borderId="1" xfId="0" applyNumberForma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vertical="center"/>
    </xf>
    <xf numFmtId="0" fontId="0" fillId="0" borderId="3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16" fontId="0" fillId="0" borderId="1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5E2A9-F1CB-2748-A448-DE468BFB3F70}">
  <sheetPr>
    <pageSetUpPr fitToPage="1"/>
  </sheetPr>
  <dimension ref="A1:O10"/>
  <sheetViews>
    <sheetView topLeftCell="G1" zoomScale="87" workbookViewId="0">
      <selection activeCell="F17" sqref="F17"/>
    </sheetView>
  </sheetViews>
  <sheetFormatPr baseColWidth="10" defaultColWidth="11.5" defaultRowHeight="15" x14ac:dyDescent="0.2"/>
  <cols>
    <col min="1" max="1" width="14.1640625" style="8" bestFit="1" customWidth="1"/>
    <col min="2" max="2" width="22.1640625" style="8" bestFit="1" customWidth="1"/>
    <col min="3" max="4" width="12.1640625" style="8" customWidth="1"/>
    <col min="5" max="5" width="14.6640625" style="8" bestFit="1" customWidth="1"/>
    <col min="6" max="6" width="43.6640625" style="8" bestFit="1" customWidth="1"/>
    <col min="7" max="7" width="91.6640625" style="8" customWidth="1"/>
    <col min="8" max="8" width="19.1640625" style="8" bestFit="1" customWidth="1"/>
    <col min="9" max="9" width="18.6640625" style="8" bestFit="1" customWidth="1"/>
    <col min="10" max="10" width="11.1640625" style="8" bestFit="1" customWidth="1"/>
    <col min="11" max="11" width="16.83203125" style="8" bestFit="1" customWidth="1"/>
    <col min="12" max="12" width="12.1640625" style="8" bestFit="1" customWidth="1"/>
    <col min="13" max="13" width="18.5" style="8" bestFit="1" customWidth="1"/>
    <col min="14" max="14" width="13.1640625" style="8" bestFit="1" customWidth="1"/>
    <col min="15" max="15" width="29.33203125" style="8" bestFit="1" customWidth="1"/>
    <col min="16" max="16384" width="11.5" style="8"/>
  </cols>
  <sheetData>
    <row r="1" spans="1:15" x14ac:dyDescent="0.2">
      <c r="A1" s="69" t="s">
        <v>247</v>
      </c>
      <c r="B1" s="70"/>
      <c r="C1" s="70"/>
      <c r="D1" s="70"/>
      <c r="E1" s="70"/>
      <c r="F1" s="70"/>
      <c r="G1" s="70"/>
      <c r="H1" s="71"/>
    </row>
    <row r="2" spans="1:15" x14ac:dyDescent="0.2">
      <c r="A2" s="72" t="s">
        <v>244</v>
      </c>
      <c r="B2" s="72"/>
      <c r="C2" s="72"/>
      <c r="D2" s="72"/>
      <c r="E2" s="72"/>
      <c r="F2" s="72"/>
      <c r="G2" s="73"/>
      <c r="H2" s="72"/>
    </row>
    <row r="3" spans="1:15" x14ac:dyDescent="0.2">
      <c r="A3" s="21" t="s">
        <v>0</v>
      </c>
      <c r="B3" s="44" t="s">
        <v>173</v>
      </c>
      <c r="C3" s="72" t="s">
        <v>4</v>
      </c>
      <c r="D3" s="72"/>
      <c r="E3" s="72"/>
      <c r="F3" s="19" t="s">
        <v>185</v>
      </c>
      <c r="G3" s="30" t="s">
        <v>13</v>
      </c>
      <c r="H3" s="20" t="s">
        <v>7</v>
      </c>
    </row>
    <row r="4" spans="1:15" s="58" customFormat="1" ht="16" x14ac:dyDescent="0.2">
      <c r="A4" s="15"/>
      <c r="B4" s="57"/>
      <c r="C4" s="46" t="s">
        <v>5</v>
      </c>
      <c r="D4" s="45" t="s">
        <v>6</v>
      </c>
      <c r="E4" s="45" t="s">
        <v>172</v>
      </c>
      <c r="F4" s="15"/>
      <c r="G4" s="15"/>
      <c r="H4" s="15"/>
      <c r="I4" s="10" t="s">
        <v>171</v>
      </c>
      <c r="J4" s="10" t="s">
        <v>82</v>
      </c>
      <c r="K4" s="10" t="s">
        <v>83</v>
      </c>
      <c r="L4" s="10" t="s">
        <v>80</v>
      </c>
      <c r="M4" s="10" t="s">
        <v>81</v>
      </c>
      <c r="N4" s="10" t="s">
        <v>88</v>
      </c>
      <c r="O4" s="45" t="s">
        <v>87</v>
      </c>
    </row>
    <row r="5" spans="1:15" s="52" customFormat="1" x14ac:dyDescent="0.2">
      <c r="A5" s="61" t="s">
        <v>16</v>
      </c>
      <c r="B5" s="61" t="s">
        <v>231</v>
      </c>
      <c r="C5" s="61" t="s">
        <v>141</v>
      </c>
      <c r="D5" s="61" t="s">
        <v>138</v>
      </c>
      <c r="E5" s="61" t="s">
        <v>139</v>
      </c>
      <c r="F5" s="62" t="s">
        <v>140</v>
      </c>
      <c r="G5" s="62" t="s">
        <v>17</v>
      </c>
      <c r="H5" s="63" t="s">
        <v>15</v>
      </c>
      <c r="I5" s="61" t="s">
        <v>92</v>
      </c>
      <c r="J5" s="61" t="s">
        <v>245</v>
      </c>
      <c r="K5" s="61" t="s">
        <v>84</v>
      </c>
      <c r="L5" s="61">
        <v>9600431055</v>
      </c>
      <c r="M5" s="61" t="s">
        <v>85</v>
      </c>
      <c r="N5" s="61" t="s">
        <v>89</v>
      </c>
      <c r="O5" s="64">
        <v>43854</v>
      </c>
    </row>
    <row r="6" spans="1:15" s="52" customFormat="1" x14ac:dyDescent="0.2">
      <c r="A6" s="61" t="s">
        <v>18</v>
      </c>
      <c r="B6" s="61" t="s">
        <v>242</v>
      </c>
      <c r="C6" s="61" t="s">
        <v>143</v>
      </c>
      <c r="D6" s="61" t="s">
        <v>142</v>
      </c>
      <c r="E6" s="61" t="s">
        <v>144</v>
      </c>
      <c r="F6" s="61" t="s">
        <v>232</v>
      </c>
      <c r="G6" s="62" t="s">
        <v>17</v>
      </c>
      <c r="H6" s="63" t="s">
        <v>19</v>
      </c>
      <c r="I6" s="61" t="s">
        <v>92</v>
      </c>
      <c r="J6" s="61" t="s">
        <v>90</v>
      </c>
      <c r="K6" s="61" t="s">
        <v>95</v>
      </c>
      <c r="L6" s="61">
        <v>780825741</v>
      </c>
      <c r="M6" s="61" t="s">
        <v>93</v>
      </c>
      <c r="N6" s="61" t="s">
        <v>94</v>
      </c>
      <c r="O6" s="64">
        <v>43852</v>
      </c>
    </row>
    <row r="7" spans="1:15" s="52" customFormat="1" x14ac:dyDescent="0.2">
      <c r="A7" s="61" t="s">
        <v>20</v>
      </c>
      <c r="B7" s="61" t="s">
        <v>14</v>
      </c>
      <c r="C7" s="61"/>
      <c r="D7" s="61" t="s">
        <v>145</v>
      </c>
      <c r="E7" s="61" t="s">
        <v>66</v>
      </c>
      <c r="F7" s="61" t="s">
        <v>21</v>
      </c>
      <c r="G7" s="62" t="s">
        <v>22</v>
      </c>
      <c r="H7" s="63" t="s">
        <v>66</v>
      </c>
      <c r="I7" s="61"/>
      <c r="J7" s="61" t="s">
        <v>90</v>
      </c>
      <c r="K7" s="61" t="s">
        <v>95</v>
      </c>
      <c r="L7" s="61">
        <v>741814040</v>
      </c>
      <c r="M7" s="61" t="s">
        <v>96</v>
      </c>
      <c r="N7" s="61" t="s">
        <v>97</v>
      </c>
      <c r="O7" s="61" t="s">
        <v>268</v>
      </c>
    </row>
    <row r="8" spans="1:15" s="50" customFormat="1" x14ac:dyDescent="0.2">
      <c r="A8" s="65" t="s">
        <v>243</v>
      </c>
      <c r="B8" s="65" t="s">
        <v>111</v>
      </c>
      <c r="C8" s="65" t="s">
        <v>248</v>
      </c>
      <c r="D8" s="65" t="s">
        <v>250</v>
      </c>
      <c r="E8" s="65" t="s">
        <v>146</v>
      </c>
      <c r="F8" s="65" t="s">
        <v>112</v>
      </c>
      <c r="G8" s="60" t="s">
        <v>113</v>
      </c>
      <c r="H8" s="66" t="s">
        <v>123</v>
      </c>
      <c r="I8" s="65"/>
      <c r="J8" s="65"/>
      <c r="K8" s="65"/>
      <c r="L8" s="65"/>
      <c r="M8" s="65"/>
      <c r="N8" s="65"/>
      <c r="O8" s="65" t="s">
        <v>268</v>
      </c>
    </row>
    <row r="9" spans="1:15" s="52" customFormat="1" ht="16" x14ac:dyDescent="0.2">
      <c r="A9" s="51" t="s">
        <v>116</v>
      </c>
      <c r="B9" s="51" t="s">
        <v>117</v>
      </c>
      <c r="C9" s="51" t="s">
        <v>249</v>
      </c>
      <c r="D9" s="51" t="s">
        <v>114</v>
      </c>
      <c r="E9" s="51" t="s">
        <v>115</v>
      </c>
      <c r="F9" s="51"/>
      <c r="G9" s="51" t="s">
        <v>118</v>
      </c>
      <c r="H9" s="51"/>
      <c r="I9" s="51"/>
      <c r="J9" s="51" t="s">
        <v>90</v>
      </c>
      <c r="K9" s="51"/>
      <c r="L9" s="51">
        <v>784420325</v>
      </c>
      <c r="M9" s="67" t="s">
        <v>119</v>
      </c>
      <c r="N9" s="51" t="s">
        <v>246</v>
      </c>
      <c r="O9" s="51" t="s">
        <v>268</v>
      </c>
    </row>
    <row r="10" spans="1:15" x14ac:dyDescent="0.2">
      <c r="A10" s="11"/>
      <c r="B10" s="11"/>
      <c r="C10" s="11"/>
      <c r="D10" s="11"/>
      <c r="E10" s="11"/>
      <c r="F10" s="12"/>
      <c r="G10" s="11"/>
      <c r="H10" s="11"/>
      <c r="I10" s="12"/>
      <c r="J10" s="12"/>
      <c r="K10" s="12"/>
      <c r="L10" s="12"/>
      <c r="M10" s="12"/>
      <c r="N10" s="12"/>
      <c r="O10" s="12"/>
    </row>
  </sheetData>
  <mergeCells count="3">
    <mergeCell ref="A1:H1"/>
    <mergeCell ref="A2:H2"/>
    <mergeCell ref="C3:E3"/>
  </mergeCells>
  <pageMargins left="0.7" right="0.7" top="0.75" bottom="0.75" header="0.3" footer="0.3"/>
  <pageSetup scale="62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3B13-01EE-0B4F-BA09-E49FD6861014}">
  <sheetPr>
    <pageSetUpPr fitToPage="1"/>
  </sheetPr>
  <dimension ref="A1:O11"/>
  <sheetViews>
    <sheetView topLeftCell="G1" zoomScale="87" workbookViewId="0">
      <selection activeCell="A5" sqref="A5"/>
    </sheetView>
  </sheetViews>
  <sheetFormatPr baseColWidth="10" defaultColWidth="11.5" defaultRowHeight="15" x14ac:dyDescent="0.2"/>
  <cols>
    <col min="1" max="1" width="14.1640625" style="8" bestFit="1" customWidth="1"/>
    <col min="2" max="2" width="22.1640625" style="8" bestFit="1" customWidth="1"/>
    <col min="3" max="4" width="12.1640625" style="8" customWidth="1"/>
    <col min="5" max="5" width="14.6640625" style="8" bestFit="1" customWidth="1"/>
    <col min="6" max="6" width="43.6640625" style="8" bestFit="1" customWidth="1"/>
    <col min="7" max="7" width="91.6640625" style="8" customWidth="1"/>
    <col min="8" max="8" width="19.1640625" style="8" bestFit="1" customWidth="1"/>
    <col min="9" max="9" width="18.6640625" style="8" bestFit="1" customWidth="1"/>
    <col min="10" max="10" width="11.1640625" style="8" bestFit="1" customWidth="1"/>
    <col min="11" max="11" width="16.83203125" style="8" bestFit="1" customWidth="1"/>
    <col min="12" max="12" width="12.1640625" style="8" bestFit="1" customWidth="1"/>
    <col min="13" max="13" width="18.5" style="8" bestFit="1" customWidth="1"/>
    <col min="14" max="14" width="13.1640625" style="8" bestFit="1" customWidth="1"/>
    <col min="15" max="15" width="29.33203125" style="8" bestFit="1" customWidth="1"/>
    <col min="16" max="16384" width="11.5" style="8"/>
  </cols>
  <sheetData>
    <row r="1" spans="1:15" x14ac:dyDescent="0.2">
      <c r="A1" s="69" t="s">
        <v>267</v>
      </c>
      <c r="B1" s="70"/>
      <c r="C1" s="70"/>
      <c r="D1" s="70"/>
      <c r="E1" s="70"/>
      <c r="F1" s="70"/>
      <c r="G1" s="70"/>
      <c r="H1" s="71"/>
    </row>
    <row r="2" spans="1:15" x14ac:dyDescent="0.2">
      <c r="A2" s="72" t="s">
        <v>266</v>
      </c>
      <c r="B2" s="72"/>
      <c r="C2" s="72"/>
      <c r="D2" s="72"/>
      <c r="E2" s="72"/>
      <c r="F2" s="72"/>
      <c r="G2" s="73"/>
      <c r="H2" s="72"/>
    </row>
    <row r="3" spans="1:15" x14ac:dyDescent="0.2">
      <c r="A3" s="21" t="s">
        <v>0</v>
      </c>
      <c r="B3" s="44" t="s">
        <v>173</v>
      </c>
      <c r="C3" s="72" t="s">
        <v>4</v>
      </c>
      <c r="D3" s="72"/>
      <c r="E3" s="72"/>
      <c r="F3" s="19" t="s">
        <v>185</v>
      </c>
      <c r="G3" s="30" t="s">
        <v>13</v>
      </c>
      <c r="H3" s="20" t="s">
        <v>7</v>
      </c>
    </row>
    <row r="4" spans="1:15" s="58" customFormat="1" ht="16" x14ac:dyDescent="0.2">
      <c r="A4" s="15"/>
      <c r="B4" s="57"/>
      <c r="C4" s="46" t="s">
        <v>5</v>
      </c>
      <c r="D4" s="45" t="s">
        <v>6</v>
      </c>
      <c r="E4" s="45" t="s">
        <v>172</v>
      </c>
      <c r="F4" s="15"/>
      <c r="G4" s="15"/>
      <c r="H4" s="15"/>
      <c r="I4" s="10" t="s">
        <v>171</v>
      </c>
      <c r="J4" s="10" t="s">
        <v>82</v>
      </c>
      <c r="K4" s="10" t="s">
        <v>83</v>
      </c>
      <c r="L4" s="10" t="s">
        <v>80</v>
      </c>
      <c r="M4" s="10" t="s">
        <v>81</v>
      </c>
      <c r="N4" s="10" t="s">
        <v>88</v>
      </c>
      <c r="O4" s="45" t="s">
        <v>87</v>
      </c>
    </row>
    <row r="5" spans="1:15" s="52" customFormat="1" x14ac:dyDescent="0.2">
      <c r="A5" s="61" t="s">
        <v>24</v>
      </c>
      <c r="B5" s="61" t="s">
        <v>23</v>
      </c>
      <c r="C5" s="61" t="s">
        <v>148</v>
      </c>
      <c r="D5" s="61" t="s">
        <v>147</v>
      </c>
      <c r="E5" s="61"/>
      <c r="F5" s="61" t="s">
        <v>25</v>
      </c>
      <c r="G5" s="61" t="s">
        <v>27</v>
      </c>
      <c r="H5" s="61" t="s">
        <v>31</v>
      </c>
      <c r="I5" s="61"/>
      <c r="J5" s="61"/>
      <c r="K5" s="61"/>
      <c r="L5" s="61"/>
      <c r="M5" s="61"/>
      <c r="N5" s="61"/>
      <c r="O5" s="61" t="s">
        <v>268</v>
      </c>
    </row>
    <row r="6" spans="1:15" s="52" customFormat="1" x14ac:dyDescent="0.2">
      <c r="A6" s="61" t="s">
        <v>29</v>
      </c>
      <c r="B6" s="61" t="s">
        <v>23</v>
      </c>
      <c r="C6" s="61"/>
      <c r="D6" s="61" t="s">
        <v>149</v>
      </c>
      <c r="E6" s="61"/>
      <c r="F6" s="61" t="s">
        <v>30</v>
      </c>
      <c r="G6" s="61" t="s">
        <v>27</v>
      </c>
      <c r="H6" s="61" t="s">
        <v>26</v>
      </c>
      <c r="I6" s="61"/>
      <c r="J6" s="61"/>
      <c r="K6" s="61"/>
      <c r="L6" s="61"/>
      <c r="M6" s="61"/>
      <c r="N6" s="61"/>
      <c r="O6" s="61" t="s">
        <v>268</v>
      </c>
    </row>
    <row r="7" spans="1:15" s="52" customFormat="1" x14ac:dyDescent="0.2">
      <c r="A7" s="61" t="s">
        <v>150</v>
      </c>
      <c r="B7" s="61" t="s">
        <v>32</v>
      </c>
      <c r="C7" s="61" t="s">
        <v>255</v>
      </c>
      <c r="D7" s="61" t="s">
        <v>252</v>
      </c>
      <c r="E7" s="61"/>
      <c r="F7" s="61"/>
      <c r="G7" s="61" t="s">
        <v>34</v>
      </c>
      <c r="H7" s="61" t="s">
        <v>33</v>
      </c>
      <c r="I7" s="61"/>
      <c r="J7" s="61"/>
      <c r="K7" s="61"/>
      <c r="L7" s="61"/>
      <c r="M7" s="61"/>
      <c r="N7" s="61"/>
      <c r="O7" s="61" t="s">
        <v>268</v>
      </c>
    </row>
    <row r="8" spans="1:15" s="50" customFormat="1" x14ac:dyDescent="0.2">
      <c r="A8" s="61" t="s">
        <v>254</v>
      </c>
      <c r="B8" s="61" t="s">
        <v>32</v>
      </c>
      <c r="C8" s="61" t="s">
        <v>122</v>
      </c>
      <c r="D8" s="61"/>
      <c r="E8" s="61"/>
      <c r="F8" s="61"/>
      <c r="G8" s="61" t="s">
        <v>35</v>
      </c>
      <c r="H8" s="61" t="s">
        <v>37</v>
      </c>
      <c r="I8" s="61"/>
      <c r="J8" s="61"/>
      <c r="K8" s="61"/>
      <c r="L8" s="61"/>
      <c r="M8" s="61"/>
      <c r="N8" s="61"/>
      <c r="O8" s="61" t="s">
        <v>268</v>
      </c>
    </row>
    <row r="9" spans="1:15" s="52" customFormat="1" x14ac:dyDescent="0.2">
      <c r="A9" s="61" t="s">
        <v>40</v>
      </c>
      <c r="B9" s="61" t="s">
        <v>28</v>
      </c>
      <c r="C9" s="61" t="s">
        <v>251</v>
      </c>
      <c r="D9" s="61" t="s">
        <v>253</v>
      </c>
      <c r="E9" s="61"/>
      <c r="F9" s="61"/>
      <c r="G9" s="61"/>
      <c r="H9" s="61"/>
      <c r="I9" s="61"/>
      <c r="J9" s="61"/>
      <c r="K9" s="61"/>
      <c r="L9" s="61"/>
      <c r="M9" s="61"/>
      <c r="N9" s="61"/>
      <c r="O9" s="61" t="s">
        <v>268</v>
      </c>
    </row>
    <row r="10" spans="1:15" x14ac:dyDescent="0.2">
      <c r="A10" s="61" t="s">
        <v>127</v>
      </c>
      <c r="B10" s="61" t="s">
        <v>28</v>
      </c>
      <c r="C10" s="61" t="s">
        <v>133</v>
      </c>
      <c r="D10" s="61" t="s">
        <v>128</v>
      </c>
      <c r="E10" s="61"/>
      <c r="F10" s="61" t="s">
        <v>131</v>
      </c>
      <c r="G10" s="61" t="s">
        <v>129</v>
      </c>
      <c r="H10" s="61" t="s">
        <v>130</v>
      </c>
      <c r="I10" s="61"/>
      <c r="J10" s="61"/>
      <c r="K10" s="61"/>
      <c r="L10" s="61"/>
      <c r="M10" s="61"/>
      <c r="N10" s="61"/>
      <c r="O10" s="61" t="s">
        <v>268</v>
      </c>
    </row>
    <row r="11" spans="1:15" x14ac:dyDescent="0.2">
      <c r="A11" s="61" t="s">
        <v>132</v>
      </c>
      <c r="B11" s="61" t="s">
        <v>28</v>
      </c>
      <c r="C11" s="61" t="s">
        <v>134</v>
      </c>
      <c r="D11" s="61" t="s">
        <v>134</v>
      </c>
      <c r="E11" s="61"/>
      <c r="F11" s="61" t="s">
        <v>135</v>
      </c>
      <c r="G11" s="61" t="s">
        <v>136</v>
      </c>
      <c r="H11" s="61" t="s">
        <v>137</v>
      </c>
      <c r="I11" s="61"/>
      <c r="J11" s="61"/>
      <c r="K11" s="61"/>
      <c r="L11" s="61"/>
      <c r="M11" s="61"/>
      <c r="N11" s="61"/>
      <c r="O11" s="61" t="s">
        <v>268</v>
      </c>
    </row>
  </sheetData>
  <mergeCells count="3">
    <mergeCell ref="A1:H1"/>
    <mergeCell ref="A2:H2"/>
    <mergeCell ref="C3:E3"/>
  </mergeCells>
  <pageMargins left="0.7" right="0.7" top="0.75" bottom="0.75" header="0.3" footer="0.3"/>
  <pageSetup scale="62"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5BEEF-1D1B-4248-AE62-4DC1EB2E8B69}">
  <sheetPr>
    <pageSetUpPr fitToPage="1"/>
  </sheetPr>
  <dimension ref="A1:O10"/>
  <sheetViews>
    <sheetView tabSelected="1" zoomScale="87" workbookViewId="0">
      <selection activeCell="A11" sqref="A11:XFD11"/>
    </sheetView>
  </sheetViews>
  <sheetFormatPr baseColWidth="10" defaultColWidth="11.5" defaultRowHeight="15" x14ac:dyDescent="0.2"/>
  <cols>
    <col min="1" max="1" width="14.5" style="8" bestFit="1" customWidth="1"/>
    <col min="2" max="2" width="22.1640625" style="8" bestFit="1" customWidth="1"/>
    <col min="3" max="4" width="12.1640625" style="8" customWidth="1"/>
    <col min="5" max="5" width="14.6640625" style="8" bestFit="1" customWidth="1"/>
    <col min="6" max="6" width="43.6640625" style="8" bestFit="1" customWidth="1"/>
    <col min="7" max="7" width="91.6640625" style="8" customWidth="1"/>
    <col min="8" max="8" width="19.1640625" style="8" bestFit="1" customWidth="1"/>
    <col min="9" max="9" width="18.6640625" style="8" bestFit="1" customWidth="1"/>
    <col min="10" max="10" width="11.1640625" style="8" bestFit="1" customWidth="1"/>
    <col min="11" max="11" width="16.83203125" style="8" bestFit="1" customWidth="1"/>
    <col min="12" max="12" width="12.1640625" style="8" bestFit="1" customWidth="1"/>
    <col min="13" max="13" width="18.5" style="8" bestFit="1" customWidth="1"/>
    <col min="14" max="14" width="13.1640625" style="8" bestFit="1" customWidth="1"/>
    <col min="15" max="15" width="29.33203125" style="8" bestFit="1" customWidth="1"/>
    <col min="16" max="16384" width="11.5" style="8"/>
  </cols>
  <sheetData>
    <row r="1" spans="1:15" x14ac:dyDescent="0.2">
      <c r="A1" s="69" t="s">
        <v>264</v>
      </c>
      <c r="B1" s="70"/>
      <c r="C1" s="70"/>
      <c r="D1" s="70"/>
      <c r="E1" s="70"/>
      <c r="F1" s="70"/>
      <c r="G1" s="70"/>
      <c r="H1" s="71"/>
    </row>
    <row r="2" spans="1:15" x14ac:dyDescent="0.2">
      <c r="A2" s="72" t="s">
        <v>265</v>
      </c>
      <c r="B2" s="72"/>
      <c r="C2" s="72"/>
      <c r="D2" s="72"/>
      <c r="E2" s="72"/>
      <c r="F2" s="72"/>
      <c r="G2" s="73"/>
      <c r="H2" s="72"/>
    </row>
    <row r="3" spans="1:15" x14ac:dyDescent="0.2">
      <c r="A3" s="21" t="s">
        <v>0</v>
      </c>
      <c r="B3" s="44" t="s">
        <v>173</v>
      </c>
      <c r="C3" s="72" t="s">
        <v>4</v>
      </c>
      <c r="D3" s="72"/>
      <c r="E3" s="72"/>
      <c r="F3" s="19" t="s">
        <v>185</v>
      </c>
      <c r="G3" s="30" t="s">
        <v>13</v>
      </c>
      <c r="H3" s="20" t="s">
        <v>7</v>
      </c>
    </row>
    <row r="4" spans="1:15" s="58" customFormat="1" ht="16" x14ac:dyDescent="0.2">
      <c r="A4" s="15"/>
      <c r="B4" s="57"/>
      <c r="C4" s="46" t="s">
        <v>5</v>
      </c>
      <c r="D4" s="45" t="s">
        <v>6</v>
      </c>
      <c r="E4" s="45" t="s">
        <v>172</v>
      </c>
      <c r="F4" s="15"/>
      <c r="G4" s="15"/>
      <c r="H4" s="15"/>
      <c r="I4" s="10" t="s">
        <v>171</v>
      </c>
      <c r="J4" s="10" t="s">
        <v>82</v>
      </c>
      <c r="K4" s="10" t="s">
        <v>83</v>
      </c>
      <c r="L4" s="10" t="s">
        <v>80</v>
      </c>
      <c r="M4" s="10" t="s">
        <v>81</v>
      </c>
      <c r="N4" s="10" t="s">
        <v>88</v>
      </c>
      <c r="O4" s="45" t="s">
        <v>87</v>
      </c>
    </row>
    <row r="5" spans="1:15" s="52" customFormat="1" x14ac:dyDescent="0.2">
      <c r="A5" s="61" t="s">
        <v>257</v>
      </c>
      <c r="B5" s="61" t="s">
        <v>42</v>
      </c>
      <c r="C5" s="61" t="s">
        <v>152</v>
      </c>
      <c r="D5" s="61" t="s">
        <v>151</v>
      </c>
      <c r="E5" s="61"/>
      <c r="F5" s="61" t="s">
        <v>38</v>
      </c>
      <c r="G5" s="61" t="s">
        <v>260</v>
      </c>
      <c r="H5" s="61" t="s">
        <v>52</v>
      </c>
      <c r="I5" s="61"/>
      <c r="J5" s="61"/>
      <c r="K5" s="61"/>
      <c r="L5" s="61"/>
      <c r="M5" s="61"/>
      <c r="N5" s="61"/>
      <c r="O5" s="61" t="s">
        <v>268</v>
      </c>
    </row>
    <row r="6" spans="1:15" s="52" customFormat="1" x14ac:dyDescent="0.2">
      <c r="A6" s="61" t="s">
        <v>39</v>
      </c>
      <c r="B6" s="61" t="s">
        <v>36</v>
      </c>
      <c r="C6" s="61" t="s">
        <v>154</v>
      </c>
      <c r="D6" s="61" t="s">
        <v>153</v>
      </c>
      <c r="E6" s="61"/>
      <c r="F6" s="61" t="s">
        <v>41</v>
      </c>
      <c r="G6" s="61" t="s">
        <v>259</v>
      </c>
      <c r="H6" s="61" t="s">
        <v>62</v>
      </c>
      <c r="I6" s="61"/>
      <c r="J6" s="61"/>
      <c r="K6" s="61"/>
      <c r="L6" s="61"/>
      <c r="M6" s="61"/>
      <c r="N6" s="61"/>
      <c r="O6" s="61" t="s">
        <v>268</v>
      </c>
    </row>
    <row r="7" spans="1:15" s="52" customFormat="1" x14ac:dyDescent="0.2">
      <c r="A7" s="61" t="s">
        <v>43</v>
      </c>
      <c r="B7" s="61" t="s">
        <v>44</v>
      </c>
      <c r="C7" s="61" t="s">
        <v>256</v>
      </c>
      <c r="D7" s="61"/>
      <c r="E7" s="61"/>
      <c r="F7" s="61" t="s">
        <v>45</v>
      </c>
      <c r="G7" s="61" t="s">
        <v>44</v>
      </c>
      <c r="H7" s="61" t="s">
        <v>46</v>
      </c>
      <c r="I7" s="61"/>
      <c r="J7" s="61"/>
      <c r="K7" s="61"/>
      <c r="L7" s="61"/>
      <c r="M7" s="61"/>
      <c r="N7" s="61"/>
      <c r="O7" s="61" t="s">
        <v>268</v>
      </c>
    </row>
    <row r="8" spans="1:15" s="50" customFormat="1" x14ac:dyDescent="0.2">
      <c r="A8" s="51" t="s">
        <v>47</v>
      </c>
      <c r="B8" s="51" t="s">
        <v>48</v>
      </c>
      <c r="C8" s="51" t="s">
        <v>155</v>
      </c>
      <c r="D8" s="51" t="s">
        <v>156</v>
      </c>
      <c r="E8" s="51"/>
      <c r="F8" s="51" t="s">
        <v>121</v>
      </c>
      <c r="G8" s="51" t="s">
        <v>258</v>
      </c>
      <c r="H8" s="51" t="s">
        <v>261</v>
      </c>
      <c r="I8" s="51"/>
      <c r="J8" s="51"/>
      <c r="K8" s="51"/>
      <c r="L8" s="51"/>
      <c r="M8" s="51"/>
      <c r="N8" s="51"/>
      <c r="O8" s="51" t="s">
        <v>268</v>
      </c>
    </row>
    <row r="9" spans="1:15" s="52" customFormat="1" x14ac:dyDescent="0.2">
      <c r="A9" s="61" t="s">
        <v>49</v>
      </c>
      <c r="B9" s="61" t="s">
        <v>48</v>
      </c>
      <c r="C9" s="61"/>
      <c r="D9" s="61" t="s">
        <v>157</v>
      </c>
      <c r="E9" s="61"/>
      <c r="F9" s="61" t="s">
        <v>50</v>
      </c>
      <c r="G9" s="51" t="s">
        <v>258</v>
      </c>
      <c r="H9" s="61" t="s">
        <v>262</v>
      </c>
      <c r="I9" s="61"/>
      <c r="J9" s="61" t="s">
        <v>245</v>
      </c>
      <c r="K9" s="61" t="s">
        <v>95</v>
      </c>
      <c r="L9" s="61">
        <v>9600134189</v>
      </c>
      <c r="M9" s="61" t="s">
        <v>263</v>
      </c>
      <c r="N9" s="61"/>
      <c r="O9" s="61" t="s">
        <v>268</v>
      </c>
    </row>
    <row r="10" spans="1:15" x14ac:dyDescent="0.2">
      <c r="A10" s="61" t="s">
        <v>51</v>
      </c>
      <c r="B10" s="61" t="s">
        <v>48</v>
      </c>
      <c r="C10" s="61" t="s">
        <v>158</v>
      </c>
      <c r="D10" s="61"/>
      <c r="E10" s="61"/>
      <c r="F10" s="63" t="s">
        <v>159</v>
      </c>
      <c r="G10" s="51" t="s">
        <v>258</v>
      </c>
      <c r="H10" s="61" t="s">
        <v>52</v>
      </c>
      <c r="I10" s="61"/>
      <c r="J10" s="61"/>
      <c r="K10" s="61"/>
      <c r="L10" s="61"/>
      <c r="M10" s="61"/>
      <c r="N10" s="61"/>
      <c r="O10" s="61" t="s">
        <v>268</v>
      </c>
    </row>
  </sheetData>
  <mergeCells count="3">
    <mergeCell ref="A1:H1"/>
    <mergeCell ref="A2:H2"/>
    <mergeCell ref="C3:E3"/>
  </mergeCells>
  <pageMargins left="0.7" right="0.7" top="0.75" bottom="0.75" header="0.3" footer="0.3"/>
  <pageSetup scale="62" orientation="landscape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16"/>
  <sheetViews>
    <sheetView topLeftCell="G1" zoomScale="87" workbookViewId="0">
      <selection activeCell="A14" sqref="A14"/>
    </sheetView>
  </sheetViews>
  <sheetFormatPr baseColWidth="10" defaultColWidth="11.5" defaultRowHeight="15" x14ac:dyDescent="0.2"/>
  <cols>
    <col min="1" max="1" width="14.1640625" style="8" bestFit="1" customWidth="1"/>
    <col min="2" max="2" width="22.1640625" style="8" bestFit="1" customWidth="1"/>
    <col min="3" max="3" width="12.1640625" style="8" bestFit="1" customWidth="1"/>
    <col min="4" max="4" width="12.1640625" style="8" customWidth="1"/>
    <col min="5" max="5" width="6.83203125" style="8" bestFit="1" customWidth="1"/>
    <col min="6" max="6" width="43.6640625" style="8" bestFit="1" customWidth="1"/>
    <col min="7" max="7" width="17" style="8" bestFit="1" customWidth="1"/>
    <col min="8" max="8" width="19.1640625" style="8" bestFit="1" customWidth="1"/>
    <col min="9" max="9" width="18.6640625" style="8" bestFit="1" customWidth="1"/>
    <col min="10" max="10" width="6.1640625" style="8" bestFit="1" customWidth="1"/>
    <col min="11" max="11" width="16.83203125" style="8" bestFit="1" customWidth="1"/>
    <col min="12" max="12" width="12.1640625" style="8" bestFit="1" customWidth="1"/>
    <col min="13" max="13" width="13.5" style="8" bestFit="1" customWidth="1"/>
    <col min="14" max="14" width="9.6640625" style="8" bestFit="1" customWidth="1"/>
    <col min="15" max="15" width="29.33203125" style="8" bestFit="1" customWidth="1"/>
    <col min="16" max="16384" width="11.5" style="8"/>
  </cols>
  <sheetData>
    <row r="1" spans="1:15" x14ac:dyDescent="0.2">
      <c r="A1" s="69" t="s">
        <v>184</v>
      </c>
      <c r="B1" s="70"/>
      <c r="C1" s="70"/>
      <c r="D1" s="70"/>
      <c r="E1" s="70"/>
      <c r="F1" s="70"/>
      <c r="G1" s="70"/>
      <c r="H1" s="71"/>
    </row>
    <row r="2" spans="1:15" x14ac:dyDescent="0.2">
      <c r="A2" s="72" t="s">
        <v>12</v>
      </c>
      <c r="B2" s="72"/>
      <c r="C2" s="72"/>
      <c r="D2" s="72"/>
      <c r="E2" s="72"/>
      <c r="F2" s="72"/>
      <c r="G2" s="73"/>
      <c r="H2" s="72"/>
    </row>
    <row r="3" spans="1:15" x14ac:dyDescent="0.2">
      <c r="A3" s="21" t="s">
        <v>0</v>
      </c>
      <c r="B3" s="29" t="s">
        <v>173</v>
      </c>
      <c r="C3" s="72" t="s">
        <v>4</v>
      </c>
      <c r="D3" s="72"/>
      <c r="E3" s="72"/>
      <c r="F3" s="19" t="s">
        <v>185</v>
      </c>
      <c r="G3" s="30" t="s">
        <v>13</v>
      </c>
      <c r="H3" s="20" t="s">
        <v>7</v>
      </c>
    </row>
    <row r="4" spans="1:15" s="58" customFormat="1" ht="16" x14ac:dyDescent="0.2">
      <c r="A4" s="15"/>
      <c r="B4" s="57"/>
      <c r="C4" s="32" t="s">
        <v>5</v>
      </c>
      <c r="D4" s="22" t="s">
        <v>6</v>
      </c>
      <c r="E4" s="22" t="s">
        <v>172</v>
      </c>
      <c r="F4" s="15"/>
      <c r="G4" s="15"/>
      <c r="H4" s="15"/>
      <c r="I4" s="10" t="s">
        <v>171</v>
      </c>
      <c r="J4" s="10" t="s">
        <v>82</v>
      </c>
      <c r="K4" s="10" t="s">
        <v>83</v>
      </c>
      <c r="L4" s="10" t="s">
        <v>80</v>
      </c>
      <c r="M4" s="10" t="s">
        <v>81</v>
      </c>
      <c r="N4" s="10" t="s">
        <v>88</v>
      </c>
      <c r="O4" s="22" t="s">
        <v>87</v>
      </c>
    </row>
    <row r="5" spans="1:15" s="52" customFormat="1" x14ac:dyDescent="0.2">
      <c r="A5" s="47" t="s">
        <v>1</v>
      </c>
      <c r="B5" s="47" t="s">
        <v>169</v>
      </c>
      <c r="C5" s="51" t="s">
        <v>233</v>
      </c>
      <c r="D5" s="51" t="s">
        <v>162</v>
      </c>
      <c r="E5" s="53"/>
      <c r="F5" s="48" t="s">
        <v>161</v>
      </c>
      <c r="G5" s="47" t="s">
        <v>241</v>
      </c>
      <c r="H5" s="51" t="s">
        <v>8</v>
      </c>
      <c r="I5" s="51"/>
      <c r="J5" s="51"/>
      <c r="K5" s="51"/>
      <c r="L5" s="51"/>
      <c r="M5" s="51"/>
      <c r="N5" s="51"/>
      <c r="O5" s="51" t="s">
        <v>268</v>
      </c>
    </row>
    <row r="6" spans="1:15" s="52" customFormat="1" x14ac:dyDescent="0.2">
      <c r="A6" s="51" t="s">
        <v>3</v>
      </c>
      <c r="B6" s="47" t="s">
        <v>169</v>
      </c>
      <c r="C6" s="51" t="s">
        <v>234</v>
      </c>
      <c r="D6" s="51" t="s">
        <v>235</v>
      </c>
      <c r="E6" s="53"/>
      <c r="F6" s="51" t="s">
        <v>236</v>
      </c>
      <c r="G6" s="47" t="s">
        <v>241</v>
      </c>
      <c r="H6" s="51" t="s">
        <v>167</v>
      </c>
      <c r="I6" s="51"/>
      <c r="J6" s="51"/>
      <c r="K6" s="51"/>
      <c r="L6" s="51"/>
      <c r="M6" s="51"/>
      <c r="N6" s="51"/>
      <c r="O6" s="54" t="s">
        <v>268</v>
      </c>
    </row>
    <row r="7" spans="1:15" s="52" customFormat="1" x14ac:dyDescent="0.2">
      <c r="A7" s="51" t="s">
        <v>11</v>
      </c>
      <c r="B7" s="47" t="s">
        <v>169</v>
      </c>
      <c r="C7" s="51" t="s">
        <v>237</v>
      </c>
      <c r="D7" s="51" t="s">
        <v>238</v>
      </c>
      <c r="E7" s="53"/>
      <c r="F7" s="51" t="s">
        <v>239</v>
      </c>
      <c r="G7" s="47" t="s">
        <v>241</v>
      </c>
      <c r="H7" s="51" t="s">
        <v>10</v>
      </c>
      <c r="I7" s="51"/>
      <c r="J7" s="51"/>
      <c r="K7" s="51"/>
      <c r="L7" s="51"/>
      <c r="M7" s="51"/>
      <c r="N7" s="51"/>
      <c r="O7" s="51" t="s">
        <v>268</v>
      </c>
    </row>
    <row r="8" spans="1:15" s="50" customFormat="1" x14ac:dyDescent="0.2">
      <c r="A8" s="48" t="s">
        <v>108</v>
      </c>
      <c r="B8" s="47" t="s">
        <v>169</v>
      </c>
      <c r="C8" s="55" t="s">
        <v>165</v>
      </c>
      <c r="D8" s="48" t="s">
        <v>166</v>
      </c>
      <c r="E8" s="49"/>
      <c r="F8" s="56" t="s">
        <v>109</v>
      </c>
      <c r="G8" s="47" t="s">
        <v>241</v>
      </c>
      <c r="H8" s="48" t="s">
        <v>110</v>
      </c>
      <c r="I8" s="48"/>
      <c r="J8" s="48"/>
      <c r="K8" s="48"/>
      <c r="L8" s="48"/>
      <c r="M8" s="48"/>
      <c r="N8" s="48"/>
      <c r="O8" s="48" t="s">
        <v>268</v>
      </c>
    </row>
    <row r="9" spans="1:15" x14ac:dyDescent="0.2">
      <c r="A9" s="8" t="s">
        <v>269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</row>
    <row r="10" spans="1:15" x14ac:dyDescent="0.2">
      <c r="A10" s="74" t="s">
        <v>170</v>
      </c>
      <c r="B10" s="74"/>
      <c r="C10" s="74"/>
      <c r="D10" s="74"/>
      <c r="E10" s="74"/>
      <c r="F10" s="74"/>
      <c r="G10" s="74"/>
      <c r="H10" s="74"/>
    </row>
    <row r="11" spans="1:15" s="59" customFormat="1" x14ac:dyDescent="0.2">
      <c r="A11" s="21" t="str">
        <f>A3</f>
        <v>Grua  de servicio</v>
      </c>
      <c r="B11" s="21" t="str">
        <f>B3</f>
        <v>Area geografica que cubre</v>
      </c>
      <c r="C11" s="75" t="str">
        <f>C3</f>
        <v>Telefonos</v>
      </c>
      <c r="D11" s="76"/>
      <c r="E11" s="77"/>
      <c r="F11" s="19" t="str">
        <f>F3</f>
        <v xml:space="preserve">Dirección </v>
      </c>
      <c r="G11" s="30" t="str">
        <f>G3</f>
        <v>Alcance</v>
      </c>
      <c r="H11" s="30" t="str">
        <f>H3</f>
        <v>Contacto</v>
      </c>
    </row>
    <row r="12" spans="1:15" s="58" customFormat="1" ht="16" x14ac:dyDescent="0.2">
      <c r="A12" s="15"/>
      <c r="B12" s="57"/>
      <c r="C12" s="22" t="str">
        <f>C4</f>
        <v>Oficina</v>
      </c>
      <c r="D12" s="22" t="str">
        <f>D4</f>
        <v>Celular</v>
      </c>
      <c r="E12" s="22" t="str">
        <f>E4</f>
        <v>Gruero</v>
      </c>
      <c r="F12" s="15"/>
      <c r="G12" s="15"/>
      <c r="H12" s="15"/>
      <c r="I12" s="10" t="s">
        <v>171</v>
      </c>
      <c r="J12" s="10" t="s">
        <v>82</v>
      </c>
      <c r="K12" s="10" t="s">
        <v>83</v>
      </c>
      <c r="L12" s="10" t="s">
        <v>80</v>
      </c>
      <c r="M12" s="10" t="s">
        <v>81</v>
      </c>
      <c r="N12" s="10" t="s">
        <v>88</v>
      </c>
      <c r="O12" s="22" t="s">
        <v>87</v>
      </c>
    </row>
    <row r="13" spans="1:15" s="50" customFormat="1" x14ac:dyDescent="0.2">
      <c r="A13" s="48" t="s">
        <v>103</v>
      </c>
      <c r="B13" s="48" t="s">
        <v>168</v>
      </c>
      <c r="C13" s="48" t="s">
        <v>106</v>
      </c>
      <c r="D13" s="48" t="s">
        <v>107</v>
      </c>
      <c r="E13" s="48"/>
      <c r="F13" s="49" t="s">
        <v>104</v>
      </c>
      <c r="G13" s="48" t="s">
        <v>168</v>
      </c>
      <c r="H13" s="48" t="s">
        <v>105</v>
      </c>
      <c r="I13" s="48"/>
      <c r="J13" s="48"/>
      <c r="K13" s="48"/>
      <c r="L13" s="48"/>
      <c r="M13" s="48"/>
      <c r="N13" s="48"/>
      <c r="O13" s="48" t="s">
        <v>268</v>
      </c>
    </row>
    <row r="14" spans="1:15" s="52" customFormat="1" x14ac:dyDescent="0.2">
      <c r="A14" s="51" t="s">
        <v>2</v>
      </c>
      <c r="B14" s="47" t="s">
        <v>169</v>
      </c>
      <c r="C14" s="51" t="s">
        <v>240</v>
      </c>
      <c r="D14" s="51" t="s">
        <v>163</v>
      </c>
      <c r="E14" s="51"/>
      <c r="F14" s="49" t="s">
        <v>160</v>
      </c>
      <c r="G14" s="47" t="s">
        <v>241</v>
      </c>
      <c r="H14" s="51" t="s">
        <v>9</v>
      </c>
      <c r="I14" s="51"/>
      <c r="J14" s="51"/>
      <c r="K14" s="51"/>
      <c r="L14" s="51"/>
      <c r="M14" s="51"/>
      <c r="N14" s="51"/>
      <c r="O14" s="51" t="s">
        <v>268</v>
      </c>
    </row>
    <row r="15" spans="1:15" x14ac:dyDescent="0.2">
      <c r="A15" s="11"/>
      <c r="B15" s="11"/>
      <c r="C15" s="11"/>
      <c r="D15" s="11"/>
      <c r="E15" s="11"/>
      <c r="F15" s="12"/>
      <c r="G15" s="12"/>
      <c r="H15" s="11"/>
      <c r="I15" s="12"/>
      <c r="J15" s="12"/>
      <c r="K15" s="12"/>
      <c r="L15" s="12"/>
      <c r="M15" s="12"/>
      <c r="N15" s="12"/>
      <c r="O15" s="12"/>
    </row>
    <row r="16" spans="1:15" x14ac:dyDescent="0.2">
      <c r="A16" s="11"/>
      <c r="B16" s="11"/>
      <c r="C16" s="11"/>
      <c r="D16" s="11"/>
      <c r="E16" s="11"/>
      <c r="F16" s="12"/>
      <c r="G16" s="11"/>
      <c r="H16" s="11"/>
      <c r="I16" s="12"/>
      <c r="J16" s="12"/>
      <c r="K16" s="12"/>
      <c r="L16" s="12"/>
      <c r="M16" s="12"/>
      <c r="N16" s="12"/>
      <c r="O16" s="12"/>
    </row>
  </sheetData>
  <mergeCells count="5">
    <mergeCell ref="A2:H2"/>
    <mergeCell ref="A10:H10"/>
    <mergeCell ref="A1:H1"/>
    <mergeCell ref="C11:E11"/>
    <mergeCell ref="C3:E3"/>
  </mergeCells>
  <pageMargins left="0.7" right="0.7" top="0.75" bottom="0.75" header="0.3" footer="0.3"/>
  <pageSetup scale="62" orientation="landscape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6"/>
  <sheetViews>
    <sheetView showGridLines="0" workbookViewId="0">
      <selection activeCell="K8" sqref="K8"/>
    </sheetView>
  </sheetViews>
  <sheetFormatPr baseColWidth="10" defaultRowHeight="15" x14ac:dyDescent="0.2"/>
  <cols>
    <col min="1" max="1" width="13.83203125" bestFit="1" customWidth="1"/>
    <col min="2" max="2" width="21.5" bestFit="1" customWidth="1"/>
    <col min="3" max="4" width="11.83203125" bestFit="1" customWidth="1"/>
    <col min="5" max="5" width="6.6640625" bestFit="1" customWidth="1"/>
    <col min="6" max="6" width="15.5" bestFit="1" customWidth="1"/>
    <col min="7" max="7" width="37.83203125" bestFit="1" customWidth="1"/>
    <col min="8" max="8" width="13.6640625" bestFit="1" customWidth="1"/>
    <col min="9" max="9" width="18.5" bestFit="1" customWidth="1"/>
    <col min="10" max="10" width="5.83203125" bestFit="1" customWidth="1"/>
    <col min="11" max="11" width="16.6640625" bestFit="1" customWidth="1"/>
    <col min="12" max="12" width="12" bestFit="1" customWidth="1"/>
    <col min="13" max="13" width="13.1640625" bestFit="1" customWidth="1"/>
    <col min="14" max="14" width="9.5" bestFit="1" customWidth="1"/>
    <col min="15" max="15" width="27.83203125" bestFit="1" customWidth="1"/>
  </cols>
  <sheetData>
    <row r="1" spans="1:15" x14ac:dyDescent="0.2">
      <c r="A1" s="69" t="s">
        <v>183</v>
      </c>
      <c r="B1" s="70"/>
      <c r="C1" s="70"/>
      <c r="D1" s="70"/>
      <c r="E1" s="70"/>
      <c r="F1" s="70"/>
      <c r="G1" s="70"/>
      <c r="H1" s="71"/>
      <c r="I1" s="8"/>
      <c r="J1" s="8"/>
      <c r="K1" s="8"/>
      <c r="L1" s="8"/>
      <c r="M1" s="8"/>
      <c r="N1" s="8"/>
      <c r="O1" s="8"/>
    </row>
    <row r="2" spans="1:15" x14ac:dyDescent="0.2">
      <c r="A2" s="72" t="s">
        <v>176</v>
      </c>
      <c r="B2" s="72"/>
      <c r="C2" s="72"/>
      <c r="D2" s="72"/>
      <c r="E2" s="72"/>
      <c r="F2" s="72"/>
      <c r="G2" s="73"/>
      <c r="H2" s="72"/>
      <c r="I2" s="8"/>
      <c r="J2" s="8"/>
      <c r="K2" s="8"/>
      <c r="L2" s="8"/>
      <c r="M2" s="8"/>
      <c r="N2" s="8"/>
      <c r="O2" s="8"/>
    </row>
    <row r="3" spans="1:15" x14ac:dyDescent="0.2">
      <c r="A3" s="21" t="s">
        <v>0</v>
      </c>
      <c r="B3" s="29" t="s">
        <v>173</v>
      </c>
      <c r="C3" s="72" t="s">
        <v>4</v>
      </c>
      <c r="D3" s="72"/>
      <c r="E3" s="72"/>
      <c r="F3" s="19" t="s">
        <v>185</v>
      </c>
      <c r="G3" s="30" t="s">
        <v>13</v>
      </c>
      <c r="H3" s="20" t="s">
        <v>7</v>
      </c>
      <c r="I3" s="8"/>
      <c r="J3" s="8"/>
      <c r="K3" s="8"/>
      <c r="L3" s="8"/>
      <c r="M3" s="8"/>
      <c r="N3" s="8"/>
      <c r="O3" s="8"/>
    </row>
    <row r="4" spans="1:15" ht="16" x14ac:dyDescent="0.2">
      <c r="A4" s="26"/>
      <c r="B4" s="25"/>
      <c r="C4" s="28" t="s">
        <v>5</v>
      </c>
      <c r="D4" s="17" t="s">
        <v>6</v>
      </c>
      <c r="E4" s="17" t="s">
        <v>172</v>
      </c>
      <c r="F4" s="26"/>
      <c r="G4" s="26"/>
      <c r="H4" s="26"/>
      <c r="I4" s="17" t="s">
        <v>171</v>
      </c>
      <c r="J4" s="10" t="s">
        <v>82</v>
      </c>
      <c r="K4" s="17" t="s">
        <v>83</v>
      </c>
      <c r="L4" s="17" t="s">
        <v>80</v>
      </c>
      <c r="M4" s="17" t="s">
        <v>81</v>
      </c>
      <c r="N4" s="17" t="s">
        <v>88</v>
      </c>
      <c r="O4" s="17" t="s">
        <v>87</v>
      </c>
    </row>
    <row r="5" spans="1:15" x14ac:dyDescent="0.2">
      <c r="A5" s="1" t="s">
        <v>53</v>
      </c>
      <c r="B5" s="1" t="s">
        <v>54</v>
      </c>
      <c r="C5" s="1" t="s">
        <v>174</v>
      </c>
      <c r="D5" s="1"/>
      <c r="E5" s="1"/>
      <c r="F5" s="14"/>
      <c r="G5" s="1" t="s">
        <v>182</v>
      </c>
      <c r="H5" s="1" t="s">
        <v>55</v>
      </c>
      <c r="I5" s="1"/>
      <c r="J5" s="1"/>
      <c r="K5" s="18"/>
      <c r="L5" s="18"/>
      <c r="M5" s="18"/>
      <c r="N5" s="18"/>
      <c r="O5" s="68" t="s">
        <v>268</v>
      </c>
    </row>
    <row r="6" spans="1:15" x14ac:dyDescent="0.2">
      <c r="A6" s="1" t="s">
        <v>186</v>
      </c>
      <c r="B6" s="1" t="s">
        <v>177</v>
      </c>
      <c r="C6" s="1" t="s">
        <v>175</v>
      </c>
      <c r="D6" s="1" t="s">
        <v>178</v>
      </c>
      <c r="E6" s="1"/>
      <c r="F6" s="2" t="s">
        <v>179</v>
      </c>
      <c r="G6" s="1" t="s">
        <v>181</v>
      </c>
      <c r="H6" s="1" t="s">
        <v>180</v>
      </c>
      <c r="I6" s="1"/>
      <c r="J6" s="1"/>
      <c r="K6" s="1"/>
      <c r="L6" s="1"/>
      <c r="M6" s="1"/>
      <c r="N6" s="1"/>
      <c r="O6" s="1" t="s">
        <v>268</v>
      </c>
    </row>
  </sheetData>
  <mergeCells count="3">
    <mergeCell ref="A1:H1"/>
    <mergeCell ref="A2:H2"/>
    <mergeCell ref="C3:E3"/>
  </mergeCells>
  <pageMargins left="0.7" right="0.7" top="0.75" bottom="0.75" header="0.3" footer="0.3"/>
  <pageSetup scale="67" orientation="landscape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6"/>
  <sheetViews>
    <sheetView showGridLines="0" workbookViewId="0">
      <selection activeCell="F30" sqref="F30"/>
    </sheetView>
  </sheetViews>
  <sheetFormatPr baseColWidth="10" defaultRowHeight="15" x14ac:dyDescent="0.2"/>
  <cols>
    <col min="1" max="1" width="15.33203125" bestFit="1" customWidth="1"/>
    <col min="2" max="2" width="21.5" bestFit="1" customWidth="1"/>
    <col min="3" max="4" width="11.83203125" bestFit="1" customWidth="1"/>
    <col min="5" max="5" width="6.6640625" bestFit="1" customWidth="1"/>
    <col min="6" max="6" width="24.6640625" bestFit="1" customWidth="1"/>
    <col min="7" max="7" width="29.6640625" bestFit="1" customWidth="1"/>
    <col min="8" max="8" width="16" bestFit="1" customWidth="1"/>
    <col min="9" max="9" width="18.5" bestFit="1" customWidth="1"/>
    <col min="10" max="10" width="5.83203125" bestFit="1" customWidth="1"/>
    <col min="11" max="11" width="16.6640625" bestFit="1" customWidth="1"/>
    <col min="12" max="12" width="12" bestFit="1" customWidth="1"/>
    <col min="13" max="13" width="13.1640625" bestFit="1" customWidth="1"/>
    <col min="14" max="14" width="9.5" bestFit="1" customWidth="1"/>
    <col min="15" max="15" width="27.83203125" bestFit="1" customWidth="1"/>
  </cols>
  <sheetData>
    <row r="1" spans="1:15" x14ac:dyDescent="0.2">
      <c r="A1" s="69" t="s">
        <v>191</v>
      </c>
      <c r="B1" s="70"/>
      <c r="C1" s="70"/>
      <c r="D1" s="70"/>
      <c r="E1" s="70"/>
      <c r="F1" s="70"/>
      <c r="G1" s="70"/>
      <c r="H1" s="71"/>
      <c r="I1" s="8"/>
      <c r="J1" s="8"/>
      <c r="K1" s="8"/>
      <c r="L1" s="8"/>
      <c r="M1" s="8"/>
      <c r="N1" s="8"/>
      <c r="O1" s="8"/>
    </row>
    <row r="2" spans="1:15" x14ac:dyDescent="0.2">
      <c r="A2" s="72" t="s">
        <v>192</v>
      </c>
      <c r="B2" s="72"/>
      <c r="C2" s="72"/>
      <c r="D2" s="72"/>
      <c r="E2" s="72"/>
      <c r="F2" s="72"/>
      <c r="G2" s="73"/>
      <c r="H2" s="72"/>
      <c r="I2" s="8"/>
      <c r="J2" s="8"/>
      <c r="K2" s="8"/>
      <c r="L2" s="8"/>
      <c r="M2" s="8"/>
      <c r="N2" s="8"/>
      <c r="O2" s="8"/>
    </row>
    <row r="3" spans="1:15" x14ac:dyDescent="0.2">
      <c r="A3" s="21" t="s">
        <v>0</v>
      </c>
      <c r="B3" s="29" t="s">
        <v>173</v>
      </c>
      <c r="C3" s="72" t="s">
        <v>4</v>
      </c>
      <c r="D3" s="72"/>
      <c r="E3" s="72"/>
      <c r="F3" s="19" t="s">
        <v>185</v>
      </c>
      <c r="G3" s="30" t="s">
        <v>13</v>
      </c>
      <c r="H3" s="20" t="s">
        <v>7</v>
      </c>
      <c r="I3" s="8"/>
      <c r="J3" s="8"/>
      <c r="K3" s="8"/>
      <c r="L3" s="8"/>
      <c r="M3" s="8"/>
      <c r="N3" s="8"/>
      <c r="O3" s="8"/>
    </row>
    <row r="4" spans="1:15" ht="16" x14ac:dyDescent="0.2">
      <c r="A4" s="26"/>
      <c r="B4" s="25"/>
      <c r="C4" s="28" t="s">
        <v>5</v>
      </c>
      <c r="D4" s="17" t="s">
        <v>6</v>
      </c>
      <c r="E4" s="17" t="s">
        <v>172</v>
      </c>
      <c r="F4" s="24"/>
      <c r="G4" s="26"/>
      <c r="H4" s="26"/>
      <c r="I4" s="17" t="s">
        <v>171</v>
      </c>
      <c r="J4" s="10" t="s">
        <v>82</v>
      </c>
      <c r="K4" s="17" t="s">
        <v>83</v>
      </c>
      <c r="L4" s="17" t="s">
        <v>80</v>
      </c>
      <c r="M4" s="17" t="s">
        <v>81</v>
      </c>
      <c r="N4" s="17" t="s">
        <v>88</v>
      </c>
      <c r="O4" s="17" t="s">
        <v>87</v>
      </c>
    </row>
    <row r="5" spans="1:15" x14ac:dyDescent="0.2">
      <c r="A5" s="1" t="s">
        <v>193</v>
      </c>
      <c r="B5" s="1" t="s">
        <v>101</v>
      </c>
      <c r="C5" s="1" t="s">
        <v>152</v>
      </c>
      <c r="D5" s="1" t="s">
        <v>151</v>
      </c>
      <c r="E5" s="1"/>
      <c r="F5" s="2" t="s">
        <v>194</v>
      </c>
      <c r="G5" s="1" t="s">
        <v>101</v>
      </c>
      <c r="H5" s="1" t="s">
        <v>190</v>
      </c>
      <c r="I5" s="1"/>
      <c r="J5" s="1"/>
      <c r="K5" s="18"/>
      <c r="L5" s="18"/>
      <c r="M5" s="18"/>
      <c r="N5" s="18"/>
      <c r="O5" s="18"/>
    </row>
    <row r="6" spans="1:15" x14ac:dyDescent="0.2">
      <c r="A6" s="1" t="s">
        <v>67</v>
      </c>
      <c r="B6" s="1" t="s">
        <v>101</v>
      </c>
      <c r="C6" s="1" t="s">
        <v>187</v>
      </c>
      <c r="D6" s="1" t="s">
        <v>188</v>
      </c>
      <c r="E6" s="1"/>
      <c r="F6" s="33"/>
      <c r="G6" s="3" t="s">
        <v>189</v>
      </c>
      <c r="H6" s="1" t="s">
        <v>68</v>
      </c>
      <c r="I6" s="1"/>
      <c r="J6" s="1"/>
      <c r="K6" s="1"/>
      <c r="L6" s="1"/>
      <c r="M6" s="1"/>
      <c r="N6" s="1"/>
      <c r="O6" s="1"/>
    </row>
  </sheetData>
  <mergeCells count="3">
    <mergeCell ref="A1:H1"/>
    <mergeCell ref="A2:H2"/>
    <mergeCell ref="C3:E3"/>
  </mergeCells>
  <pageMargins left="0.7" right="0.7" top="0.75" bottom="0.75" header="0.3" footer="0.3"/>
  <pageSetup scale="67" orientation="landscape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6"/>
  <sheetViews>
    <sheetView showGridLines="0" workbookViewId="0">
      <selection activeCell="A3" sqref="A3"/>
    </sheetView>
  </sheetViews>
  <sheetFormatPr baseColWidth="10" defaultRowHeight="15" x14ac:dyDescent="0.2"/>
  <cols>
    <col min="1" max="1" width="13.83203125" bestFit="1" customWidth="1"/>
    <col min="2" max="2" width="21.5" bestFit="1" customWidth="1"/>
    <col min="3" max="4" width="12.1640625" bestFit="1" customWidth="1"/>
    <col min="5" max="5" width="11.1640625" bestFit="1" customWidth="1"/>
    <col min="6" max="6" width="16.5" bestFit="1" customWidth="1"/>
    <col min="7" max="7" width="51.33203125" bestFit="1" customWidth="1"/>
    <col min="8" max="8" width="20" bestFit="1" customWidth="1"/>
    <col min="9" max="9" width="48.6640625" bestFit="1" customWidth="1"/>
    <col min="10" max="10" width="20" bestFit="1" customWidth="1"/>
    <col min="11" max="11" width="16.6640625" bestFit="1" customWidth="1"/>
    <col min="12" max="12" width="12" bestFit="1" customWidth="1"/>
    <col min="13" max="13" width="20" bestFit="1" customWidth="1"/>
    <col min="14" max="14" width="13.1640625" bestFit="1" customWidth="1"/>
    <col min="15" max="15" width="27.83203125" bestFit="1" customWidth="1"/>
    <col min="16" max="16" width="13.1640625" bestFit="1" customWidth="1"/>
    <col min="17" max="17" width="5.83203125" bestFit="1" customWidth="1"/>
    <col min="18" max="18" width="15.83203125" customWidth="1"/>
    <col min="19" max="19" width="17.6640625" customWidth="1"/>
  </cols>
  <sheetData>
    <row r="1" spans="1:18" x14ac:dyDescent="0.2">
      <c r="A1" s="69" t="s">
        <v>201</v>
      </c>
      <c r="B1" s="70"/>
      <c r="C1" s="70"/>
      <c r="D1" s="70"/>
      <c r="E1" s="70"/>
      <c r="F1" s="70"/>
      <c r="G1" s="70"/>
      <c r="H1" s="71"/>
      <c r="I1" s="8"/>
      <c r="J1" s="8"/>
      <c r="K1" s="8"/>
      <c r="L1" s="8"/>
      <c r="M1" s="8"/>
      <c r="N1" s="8"/>
      <c r="O1" s="8"/>
    </row>
    <row r="2" spans="1:18" x14ac:dyDescent="0.2">
      <c r="A2" s="72" t="s">
        <v>202</v>
      </c>
      <c r="B2" s="72"/>
      <c r="C2" s="72"/>
      <c r="D2" s="72"/>
      <c r="E2" s="72"/>
      <c r="F2" s="72"/>
      <c r="G2" s="73"/>
      <c r="H2" s="72"/>
      <c r="I2" s="8"/>
      <c r="J2" s="8"/>
      <c r="K2" s="8"/>
      <c r="L2" s="8"/>
      <c r="M2" s="8"/>
      <c r="N2" s="8"/>
      <c r="O2" s="8"/>
    </row>
    <row r="3" spans="1:18" x14ac:dyDescent="0.2">
      <c r="A3" s="21" t="s">
        <v>0</v>
      </c>
      <c r="B3" s="29" t="s">
        <v>173</v>
      </c>
      <c r="C3" s="72" t="s">
        <v>4</v>
      </c>
      <c r="D3" s="72"/>
      <c r="E3" s="72"/>
      <c r="F3" s="19" t="s">
        <v>185</v>
      </c>
      <c r="G3" s="30" t="s">
        <v>13</v>
      </c>
      <c r="H3" s="20" t="s">
        <v>7</v>
      </c>
      <c r="I3" s="8"/>
      <c r="J3" s="8"/>
      <c r="K3" s="8"/>
      <c r="L3" s="8"/>
      <c r="M3" s="8"/>
      <c r="N3" s="8"/>
      <c r="O3" s="8"/>
    </row>
    <row r="4" spans="1:18" ht="16" x14ac:dyDescent="0.2">
      <c r="A4" s="26"/>
      <c r="B4" s="25"/>
      <c r="C4" s="28" t="s">
        <v>5</v>
      </c>
      <c r="D4" s="17" t="s">
        <v>6</v>
      </c>
      <c r="E4" s="17" t="s">
        <v>172</v>
      </c>
      <c r="F4" s="24"/>
      <c r="G4" s="26"/>
      <c r="H4" s="26"/>
      <c r="I4" s="17" t="s">
        <v>171</v>
      </c>
      <c r="J4" s="10" t="s">
        <v>82</v>
      </c>
      <c r="K4" s="17" t="s">
        <v>83</v>
      </c>
      <c r="L4" s="17" t="s">
        <v>80</v>
      </c>
      <c r="M4" s="17" t="s">
        <v>81</v>
      </c>
      <c r="N4" s="17" t="s">
        <v>88</v>
      </c>
      <c r="O4" s="17" t="s">
        <v>87</v>
      </c>
    </row>
    <row r="5" spans="1:18" x14ac:dyDescent="0.2">
      <c r="A5" s="1" t="s">
        <v>63</v>
      </c>
      <c r="B5" s="1" t="s">
        <v>69</v>
      </c>
      <c r="C5" s="1" t="s">
        <v>197</v>
      </c>
      <c r="D5" s="1" t="s">
        <v>199</v>
      </c>
      <c r="E5" s="1"/>
      <c r="F5" s="2" t="s">
        <v>64</v>
      </c>
      <c r="G5" s="4" t="s">
        <v>195</v>
      </c>
      <c r="H5" s="4" t="s">
        <v>65</v>
      </c>
      <c r="I5" s="5"/>
      <c r="J5" s="5"/>
      <c r="K5" s="5"/>
      <c r="L5" s="5"/>
      <c r="M5" s="5"/>
      <c r="N5" s="5"/>
      <c r="O5" s="6"/>
    </row>
    <row r="6" spans="1:18" x14ac:dyDescent="0.2">
      <c r="A6" s="7" t="s">
        <v>120</v>
      </c>
      <c r="B6" s="7" t="s">
        <v>69</v>
      </c>
      <c r="C6" s="7" t="s">
        <v>198</v>
      </c>
      <c r="D6" s="7" t="s">
        <v>200</v>
      </c>
      <c r="E6" s="7">
        <v>5401097943</v>
      </c>
      <c r="F6" s="2" t="s">
        <v>79</v>
      </c>
      <c r="G6" s="4" t="s">
        <v>195</v>
      </c>
      <c r="H6" s="7" t="s">
        <v>78</v>
      </c>
      <c r="I6" s="13" t="s">
        <v>86</v>
      </c>
      <c r="J6" s="13" t="s">
        <v>90</v>
      </c>
      <c r="K6" s="13"/>
      <c r="L6" s="13">
        <v>813306818</v>
      </c>
      <c r="M6" s="13" t="s">
        <v>78</v>
      </c>
      <c r="N6" s="13" t="s">
        <v>91</v>
      </c>
      <c r="O6" s="35" t="s">
        <v>196</v>
      </c>
      <c r="R6" s="8"/>
    </row>
  </sheetData>
  <mergeCells count="3">
    <mergeCell ref="A1:H1"/>
    <mergeCell ref="A2:H2"/>
    <mergeCell ref="C3:E3"/>
  </mergeCells>
  <phoneticPr fontId="4" type="noConversion"/>
  <pageMargins left="0.7" right="0.7" top="0.75" bottom="0.75" header="0.3" footer="0.3"/>
  <pageSetup scale="35" orientation="landscape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7"/>
  <sheetViews>
    <sheetView showGridLines="0" workbookViewId="0">
      <selection activeCell="I5" sqref="I5"/>
    </sheetView>
  </sheetViews>
  <sheetFormatPr baseColWidth="10" defaultRowHeight="15" x14ac:dyDescent="0.2"/>
  <cols>
    <col min="1" max="1" width="13.83203125" bestFit="1" customWidth="1"/>
    <col min="2" max="2" width="21.5" bestFit="1" customWidth="1"/>
    <col min="3" max="4" width="11.83203125" bestFit="1" customWidth="1"/>
    <col min="5" max="5" width="6.6640625" bestFit="1" customWidth="1"/>
    <col min="6" max="6" width="8.6640625" bestFit="1" customWidth="1"/>
    <col min="7" max="7" width="22.33203125" bestFit="1" customWidth="1"/>
    <col min="8" max="8" width="12.1640625" bestFit="1" customWidth="1"/>
    <col min="9" max="9" width="18.5" bestFit="1" customWidth="1"/>
    <col min="10" max="10" width="5.83203125" bestFit="1" customWidth="1"/>
    <col min="11" max="11" width="16.6640625" bestFit="1" customWidth="1"/>
    <col min="12" max="12" width="12" bestFit="1" customWidth="1"/>
    <col min="13" max="13" width="13.1640625" bestFit="1" customWidth="1"/>
    <col min="14" max="14" width="9.5" bestFit="1" customWidth="1"/>
    <col min="15" max="15" width="27.83203125" bestFit="1" customWidth="1"/>
  </cols>
  <sheetData>
    <row r="1" spans="1:15" x14ac:dyDescent="0.2">
      <c r="A1" s="69" t="s">
        <v>222</v>
      </c>
      <c r="B1" s="70"/>
      <c r="C1" s="70"/>
      <c r="D1" s="70"/>
      <c r="E1" s="70"/>
      <c r="F1" s="70"/>
      <c r="G1" s="70"/>
      <c r="H1" s="71"/>
      <c r="I1" s="8"/>
      <c r="J1" s="8"/>
      <c r="K1" s="8"/>
      <c r="L1" s="8"/>
      <c r="M1" s="8"/>
      <c r="N1" s="8"/>
      <c r="O1" s="8"/>
    </row>
    <row r="2" spans="1:15" x14ac:dyDescent="0.2">
      <c r="A2" s="72" t="s">
        <v>223</v>
      </c>
      <c r="B2" s="72"/>
      <c r="C2" s="72"/>
      <c r="D2" s="72"/>
      <c r="E2" s="72"/>
      <c r="F2" s="72"/>
      <c r="G2" s="73"/>
      <c r="H2" s="72"/>
      <c r="I2" s="8"/>
      <c r="J2" s="8"/>
      <c r="K2" s="8"/>
      <c r="L2" s="8"/>
      <c r="M2" s="8"/>
      <c r="N2" s="8"/>
      <c r="O2" s="8"/>
    </row>
    <row r="3" spans="1:15" x14ac:dyDescent="0.2">
      <c r="A3" s="21" t="s">
        <v>0</v>
      </c>
      <c r="B3" s="29" t="s">
        <v>173</v>
      </c>
      <c r="C3" s="72" t="s">
        <v>4</v>
      </c>
      <c r="D3" s="72"/>
      <c r="E3" s="72"/>
      <c r="F3" s="19" t="s">
        <v>185</v>
      </c>
      <c r="G3" s="30" t="s">
        <v>13</v>
      </c>
      <c r="H3" s="20" t="s">
        <v>7</v>
      </c>
      <c r="I3" s="8"/>
      <c r="J3" s="8"/>
      <c r="K3" s="8"/>
      <c r="L3" s="8"/>
      <c r="M3" s="8"/>
      <c r="N3" s="8"/>
      <c r="O3" s="8"/>
    </row>
    <row r="4" spans="1:15" ht="16" x14ac:dyDescent="0.2">
      <c r="A4" s="26"/>
      <c r="B4" s="25"/>
      <c r="C4" s="28" t="s">
        <v>5</v>
      </c>
      <c r="D4" s="17" t="s">
        <v>6</v>
      </c>
      <c r="E4" s="17" t="s">
        <v>172</v>
      </c>
      <c r="F4" s="24"/>
      <c r="G4" s="26"/>
      <c r="H4" s="26"/>
      <c r="I4" s="17" t="s">
        <v>171</v>
      </c>
      <c r="J4" s="10" t="s">
        <v>82</v>
      </c>
      <c r="K4" s="17" t="s">
        <v>83</v>
      </c>
      <c r="L4" s="17" t="s">
        <v>80</v>
      </c>
      <c r="M4" s="17" t="s">
        <v>81</v>
      </c>
      <c r="N4" s="17" t="s">
        <v>88</v>
      </c>
      <c r="O4" s="17" t="s">
        <v>87</v>
      </c>
    </row>
    <row r="5" spans="1:15" x14ac:dyDescent="0.2">
      <c r="A5" s="1" t="s">
        <v>270</v>
      </c>
      <c r="B5" s="1" t="s">
        <v>56</v>
      </c>
      <c r="C5" s="1" t="s">
        <v>203</v>
      </c>
      <c r="D5" s="1"/>
      <c r="E5" s="1"/>
      <c r="F5" s="2"/>
      <c r="G5" s="1" t="s">
        <v>57</v>
      </c>
      <c r="H5" s="1" t="s">
        <v>58</v>
      </c>
      <c r="I5" s="1"/>
      <c r="J5" s="1"/>
      <c r="K5" s="18"/>
      <c r="L5" s="18"/>
      <c r="M5" s="18"/>
      <c r="N5" s="18"/>
      <c r="O5" s="18"/>
    </row>
    <row r="6" spans="1:15" x14ac:dyDescent="0.2">
      <c r="A6" s="7" t="s">
        <v>98</v>
      </c>
      <c r="B6" s="7" t="s">
        <v>99</v>
      </c>
      <c r="C6" s="7"/>
      <c r="D6" s="7" t="s">
        <v>204</v>
      </c>
      <c r="E6" s="7"/>
      <c r="F6" s="23"/>
      <c r="G6" s="7" t="s">
        <v>206</v>
      </c>
      <c r="H6" s="7" t="s">
        <v>100</v>
      </c>
      <c r="I6" s="1"/>
      <c r="J6" s="1"/>
      <c r="K6" s="1"/>
      <c r="L6" s="1"/>
      <c r="M6" s="1"/>
      <c r="N6" s="1"/>
      <c r="O6" s="1"/>
    </row>
    <row r="7" spans="1:15" x14ac:dyDescent="0.2">
      <c r="A7" s="1" t="s">
        <v>124</v>
      </c>
      <c r="B7" s="1" t="s">
        <v>125</v>
      </c>
      <c r="C7" s="1"/>
      <c r="D7" s="1" t="s">
        <v>205</v>
      </c>
      <c r="E7" s="1"/>
      <c r="F7" s="34"/>
      <c r="G7" s="9" t="s">
        <v>207</v>
      </c>
      <c r="H7" s="1" t="s">
        <v>126</v>
      </c>
      <c r="I7" s="1"/>
      <c r="J7" s="1"/>
      <c r="K7" s="1"/>
      <c r="L7" s="1"/>
      <c r="M7" s="1"/>
      <c r="N7" s="1"/>
      <c r="O7" s="1"/>
    </row>
  </sheetData>
  <mergeCells count="3">
    <mergeCell ref="A1:H1"/>
    <mergeCell ref="A2:H2"/>
    <mergeCell ref="C3:E3"/>
  </mergeCells>
  <pageMargins left="0.7" right="0.7" top="0.75" bottom="0.75" header="0.3" footer="0.3"/>
  <pageSetup scale="73" orientation="landscape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7"/>
  <sheetViews>
    <sheetView workbookViewId="0">
      <selection activeCell="F19" sqref="F19"/>
    </sheetView>
  </sheetViews>
  <sheetFormatPr baseColWidth="10" defaultRowHeight="15" x14ac:dyDescent="0.2"/>
  <cols>
    <col min="1" max="1" width="13.83203125" bestFit="1" customWidth="1"/>
    <col min="2" max="2" width="21.5" bestFit="1" customWidth="1"/>
    <col min="3" max="3" width="21" bestFit="1" customWidth="1"/>
    <col min="4" max="5" width="12.1640625" bestFit="1" customWidth="1"/>
    <col min="6" max="6" width="24" bestFit="1" customWidth="1"/>
    <col min="7" max="7" width="60.1640625" bestFit="1" customWidth="1"/>
    <col min="8" max="8" width="25" bestFit="1" customWidth="1"/>
    <col min="9" max="9" width="18.5" bestFit="1" customWidth="1"/>
    <col min="10" max="10" width="51.83203125" bestFit="1" customWidth="1"/>
    <col min="11" max="11" width="25" bestFit="1" customWidth="1"/>
    <col min="12" max="12" width="12" bestFit="1" customWidth="1"/>
    <col min="13" max="13" width="13.1640625" bestFit="1" customWidth="1"/>
    <col min="14" max="14" width="9.5" bestFit="1" customWidth="1"/>
    <col min="15" max="15" width="27.83203125" bestFit="1" customWidth="1"/>
  </cols>
  <sheetData>
    <row r="1" spans="1:15" x14ac:dyDescent="0.2">
      <c r="A1" s="69" t="s">
        <v>220</v>
      </c>
      <c r="B1" s="70"/>
      <c r="C1" s="70"/>
      <c r="D1" s="70"/>
      <c r="E1" s="70"/>
      <c r="F1" s="70"/>
      <c r="G1" s="70"/>
      <c r="H1" s="71"/>
      <c r="I1" s="8"/>
      <c r="J1" s="8"/>
      <c r="K1" s="8"/>
      <c r="L1" s="8"/>
      <c r="M1" s="8"/>
      <c r="N1" s="8"/>
      <c r="O1" s="8"/>
    </row>
    <row r="2" spans="1:15" x14ac:dyDescent="0.2">
      <c r="A2" s="72" t="s">
        <v>221</v>
      </c>
      <c r="B2" s="72"/>
      <c r="C2" s="72"/>
      <c r="D2" s="72"/>
      <c r="E2" s="72"/>
      <c r="F2" s="72"/>
      <c r="G2" s="73"/>
      <c r="H2" s="72"/>
      <c r="I2" s="8"/>
      <c r="J2" s="8"/>
      <c r="K2" s="8"/>
      <c r="L2" s="8"/>
      <c r="M2" s="8"/>
      <c r="N2" s="8"/>
      <c r="O2" s="8"/>
    </row>
    <row r="3" spans="1:15" x14ac:dyDescent="0.2">
      <c r="A3" s="21" t="s">
        <v>0</v>
      </c>
      <c r="B3" s="29" t="s">
        <v>173</v>
      </c>
      <c r="C3" s="72" t="s">
        <v>4</v>
      </c>
      <c r="D3" s="72"/>
      <c r="E3" s="72"/>
      <c r="F3" s="19" t="s">
        <v>185</v>
      </c>
      <c r="G3" s="30" t="s">
        <v>13</v>
      </c>
      <c r="H3" s="20" t="s">
        <v>7</v>
      </c>
      <c r="I3" s="8"/>
      <c r="J3" s="8"/>
      <c r="K3" s="8"/>
      <c r="L3" s="8"/>
      <c r="M3" s="8"/>
      <c r="N3" s="8"/>
      <c r="O3" s="8"/>
    </row>
    <row r="4" spans="1:15" ht="16" x14ac:dyDescent="0.2">
      <c r="A4" s="26"/>
      <c r="B4" s="25"/>
      <c r="C4" s="28" t="s">
        <v>5</v>
      </c>
      <c r="D4" s="17" t="s">
        <v>6</v>
      </c>
      <c r="E4" s="17" t="s">
        <v>172</v>
      </c>
      <c r="F4" s="24"/>
      <c r="G4" s="26"/>
      <c r="H4" s="26"/>
      <c r="I4" s="17" t="s">
        <v>171</v>
      </c>
      <c r="J4" s="10" t="s">
        <v>82</v>
      </c>
      <c r="K4" s="17" t="s">
        <v>83</v>
      </c>
      <c r="L4" s="17" t="s">
        <v>80</v>
      </c>
      <c r="M4" s="17" t="s">
        <v>81</v>
      </c>
      <c r="N4" s="17" t="s">
        <v>88</v>
      </c>
      <c r="O4" s="17" t="s">
        <v>87</v>
      </c>
    </row>
    <row r="5" spans="1:15" x14ac:dyDescent="0.2">
      <c r="A5" s="1" t="s">
        <v>59</v>
      </c>
      <c r="B5" s="1" t="s">
        <v>208</v>
      </c>
      <c r="C5" s="1" t="s">
        <v>210</v>
      </c>
      <c r="D5" s="1" t="s">
        <v>212</v>
      </c>
      <c r="E5" s="1"/>
      <c r="F5" s="2" t="s">
        <v>215</v>
      </c>
      <c r="G5" s="1" t="s">
        <v>217</v>
      </c>
      <c r="H5" s="1" t="s">
        <v>60</v>
      </c>
      <c r="I5" s="1"/>
      <c r="J5" s="1"/>
      <c r="K5" s="18"/>
      <c r="L5" s="18"/>
      <c r="M5" s="18"/>
      <c r="N5" s="18"/>
      <c r="O5" s="18"/>
    </row>
    <row r="6" spans="1:15" x14ac:dyDescent="0.2">
      <c r="A6" s="1" t="s">
        <v>61</v>
      </c>
      <c r="B6" s="1" t="s">
        <v>208</v>
      </c>
      <c r="C6" s="1" t="s">
        <v>209</v>
      </c>
      <c r="D6" s="1"/>
      <c r="E6" s="1"/>
      <c r="F6" s="33" t="s">
        <v>216</v>
      </c>
      <c r="G6" s="1"/>
      <c r="H6" s="1"/>
      <c r="I6" s="1"/>
      <c r="J6" s="1"/>
      <c r="K6" s="1"/>
      <c r="L6" s="1"/>
      <c r="M6" s="1"/>
      <c r="N6" s="1"/>
      <c r="O6" s="1"/>
    </row>
    <row r="7" spans="1:15" x14ac:dyDescent="0.2">
      <c r="A7" s="1" t="s">
        <v>70</v>
      </c>
      <c r="B7" s="1" t="s">
        <v>208</v>
      </c>
      <c r="C7" s="1" t="s">
        <v>211</v>
      </c>
      <c r="D7" s="1" t="s">
        <v>213</v>
      </c>
      <c r="E7" s="1" t="s">
        <v>214</v>
      </c>
      <c r="F7" s="33" t="s">
        <v>71</v>
      </c>
      <c r="G7" s="1" t="s">
        <v>218</v>
      </c>
      <c r="H7" s="1" t="s">
        <v>219</v>
      </c>
      <c r="I7" s="1"/>
      <c r="J7" s="1"/>
      <c r="K7" s="1"/>
      <c r="L7" s="1"/>
      <c r="M7" s="1"/>
      <c r="N7" s="1"/>
      <c r="O7" s="1"/>
    </row>
  </sheetData>
  <mergeCells count="3">
    <mergeCell ref="A1:H1"/>
    <mergeCell ref="A2:H2"/>
    <mergeCell ref="C3:E3"/>
  </mergeCells>
  <pageMargins left="0.7" right="0.7" top="0.75" bottom="0.75" header="0.3" footer="0.3"/>
  <pageSetup scale="72" orientation="landscape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3"/>
  <sheetViews>
    <sheetView showGridLines="0" workbookViewId="0">
      <selection activeCell="B12" sqref="B12"/>
    </sheetView>
  </sheetViews>
  <sheetFormatPr baseColWidth="10" defaultRowHeight="15" x14ac:dyDescent="0.2"/>
  <cols>
    <col min="1" max="1" width="83.5" bestFit="1" customWidth="1"/>
    <col min="2" max="2" width="15.6640625" bestFit="1" customWidth="1"/>
    <col min="3" max="3" width="14.5" customWidth="1"/>
    <col min="4" max="4" width="35.5" customWidth="1"/>
  </cols>
  <sheetData>
    <row r="1" spans="1:4" s="8" customFormat="1" x14ac:dyDescent="0.2">
      <c r="A1" s="30" t="s">
        <v>228</v>
      </c>
      <c r="B1" s="78" t="s">
        <v>72</v>
      </c>
      <c r="C1" s="78"/>
      <c r="D1" s="78"/>
    </row>
    <row r="2" spans="1:4" s="8" customFormat="1" x14ac:dyDescent="0.2">
      <c r="A2" s="15"/>
      <c r="B2" s="42" t="s">
        <v>74</v>
      </c>
      <c r="C2" s="16" t="s">
        <v>75</v>
      </c>
      <c r="D2" s="16" t="s">
        <v>76</v>
      </c>
    </row>
    <row r="3" spans="1:4" s="8" customFormat="1" ht="15" customHeight="1" x14ac:dyDescent="0.2">
      <c r="A3" s="43" t="s">
        <v>224</v>
      </c>
      <c r="B3" s="27" t="s">
        <v>225</v>
      </c>
      <c r="C3" s="40" t="s">
        <v>73</v>
      </c>
      <c r="D3" s="40" t="s">
        <v>226</v>
      </c>
    </row>
    <row r="4" spans="1:4" s="8" customFormat="1" x14ac:dyDescent="0.2">
      <c r="A4" s="43" t="s">
        <v>224</v>
      </c>
      <c r="B4" s="27" t="s">
        <v>225</v>
      </c>
      <c r="C4" s="40" t="s">
        <v>103</v>
      </c>
      <c r="D4" s="40" t="s">
        <v>164</v>
      </c>
    </row>
    <row r="5" spans="1:4" s="8" customFormat="1" ht="16" x14ac:dyDescent="0.2">
      <c r="A5" s="43" t="s">
        <v>224</v>
      </c>
      <c r="B5" s="27" t="s">
        <v>225</v>
      </c>
      <c r="C5" s="40" t="s">
        <v>2</v>
      </c>
      <c r="D5" s="41" t="s">
        <v>230</v>
      </c>
    </row>
    <row r="6" spans="1:4" s="8" customFormat="1" ht="16" x14ac:dyDescent="0.2">
      <c r="A6" s="43" t="s">
        <v>224</v>
      </c>
      <c r="B6" s="27" t="s">
        <v>48</v>
      </c>
      <c r="C6" s="40" t="s">
        <v>77</v>
      </c>
      <c r="D6" s="41" t="s">
        <v>227</v>
      </c>
    </row>
    <row r="7" spans="1:4" s="8" customFormat="1" ht="16" x14ac:dyDescent="0.2">
      <c r="A7" s="43" t="s">
        <v>224</v>
      </c>
      <c r="B7" s="27" t="s">
        <v>101</v>
      </c>
      <c r="C7" s="40" t="s">
        <v>229</v>
      </c>
      <c r="D7" s="41" t="s">
        <v>102</v>
      </c>
    </row>
    <row r="8" spans="1:4" x14ac:dyDescent="0.2">
      <c r="A8" s="36"/>
      <c r="B8" s="37"/>
      <c r="C8" s="36"/>
      <c r="D8" s="36"/>
    </row>
    <row r="9" spans="1:4" x14ac:dyDescent="0.2">
      <c r="A9" s="36"/>
      <c r="B9" s="37"/>
      <c r="C9" s="36"/>
      <c r="D9" s="36"/>
    </row>
    <row r="10" spans="1:4" ht="15" customHeight="1" x14ac:dyDescent="0.2">
      <c r="A10" s="36"/>
      <c r="B10" s="37"/>
      <c r="C10" s="39"/>
      <c r="D10" s="39"/>
    </row>
    <row r="11" spans="1:4" x14ac:dyDescent="0.2">
      <c r="A11" s="36"/>
      <c r="B11" s="37"/>
      <c r="C11" s="36"/>
      <c r="D11" s="38"/>
    </row>
    <row r="12" spans="1:4" x14ac:dyDescent="0.2">
      <c r="A12" s="36"/>
      <c r="B12" s="37"/>
      <c r="C12" s="36"/>
      <c r="D12" s="38"/>
    </row>
    <row r="13" spans="1:4" x14ac:dyDescent="0.2">
      <c r="A13" s="36"/>
      <c r="B13" s="37"/>
      <c r="C13" s="36"/>
      <c r="D13" s="38"/>
    </row>
  </sheetData>
  <mergeCells count="1">
    <mergeCell ref="B1:D1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Region Este</vt:lpstr>
      <vt:lpstr>Region Sur</vt:lpstr>
      <vt:lpstr>Region Cibao</vt:lpstr>
      <vt:lpstr>Santo Domingo  </vt:lpstr>
      <vt:lpstr>Mao</vt:lpstr>
      <vt:lpstr>Puerto Plata</vt:lpstr>
      <vt:lpstr>Moca</vt:lpstr>
      <vt:lpstr>Nagua-Samana</vt:lpstr>
      <vt:lpstr>San francisco-Salcedo</vt:lpstr>
      <vt:lpstr>Asistencias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Kohuris Henriquez</dc:creator>
  <cp:lastModifiedBy>Manuel Ernesto Bencosme Concpción</cp:lastModifiedBy>
  <cp:lastPrinted>2020-03-11T15:15:07Z</cp:lastPrinted>
  <dcterms:created xsi:type="dcterms:W3CDTF">2019-09-20T13:00:44Z</dcterms:created>
  <dcterms:modified xsi:type="dcterms:W3CDTF">2020-12-02T23:44:41Z</dcterms:modified>
</cp:coreProperties>
</file>